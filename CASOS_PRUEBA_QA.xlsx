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'Casos'!$A$1:$K$337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CP-HTML-64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Barra del bloque no tapa</t>
        </is>
      </c>
      <c r="E187" s="8" t="inlineStr">
        <is>
          <t>Seleccionar un bloque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CP-HTML-65</t>
        </is>
      </c>
      <c r="B188" s="3" t="inlineStr">
        <is>
          <t>Constructor de correos HTML</t>
        </is>
      </c>
      <c r="C188" s="2" t="inlineStr">
        <is>
          <t>Media</t>
        </is>
      </c>
      <c r="D188" s="3" t="inlineStr">
        <is>
          <t>Plantillas prediseñadas</t>
        </is>
      </c>
      <c r="E188" s="3" t="inlineStr">
        <is>
          <t>Abrir "Plantillas" y cargar una de las 5 integradas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CP-HTML-66</t>
        </is>
      </c>
      <c r="B189" s="8" t="inlineStr">
        <is>
          <t>Constructor de correos HTML</t>
        </is>
      </c>
      <c r="C189" s="7" t="inlineStr">
        <is>
          <t>Baja</t>
        </is>
      </c>
      <c r="D189" s="8" t="inlineStr">
        <is>
          <t>Móvil</t>
        </is>
      </c>
      <c r="E189" s="8" t="inlineStr">
        <is>
          <t>Abrir el constructor en un móvil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CP-PDF-01</t>
        </is>
      </c>
      <c r="B190" s="3" t="inlineStr">
        <is>
          <t>Plantillas PDF (básicas · Estudio · Diseñador)</t>
        </is>
      </c>
      <c r="C190" s="2" t="inlineStr">
        <is>
          <t>Alta</t>
        </is>
      </c>
      <c r="D190" s="3" t="inlineStr">
        <is>
          <t>Editor básico tipo Word</t>
        </is>
      </c>
      <c r="E190" s="3" t="inlineStr">
        <is>
          <t>Crear plantilla con títulos, imagen, tabla y variables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CP-PDF-02</t>
        </is>
      </c>
      <c r="B191" s="8" t="inlineStr">
        <is>
          <t>Plantillas PDF (básicas · Estudio · Diseñador)</t>
        </is>
      </c>
      <c r="C191" s="7" t="inlineStr">
        <is>
          <t>Alta</t>
        </is>
      </c>
      <c r="D191" s="8" t="inlineStr">
        <is>
          <t>Vista previa PDF (básico)</t>
        </is>
      </c>
      <c r="E191" s="8" t="inlineStr">
        <is>
          <t>Botón "Vista previa PDF"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CP-PDF-03</t>
        </is>
      </c>
      <c r="B192" s="3" t="inlineStr">
        <is>
          <t>Plantillas PDF (básicas · Estudio · Diseñador)</t>
        </is>
      </c>
      <c r="C192" s="2" t="inlineStr">
        <is>
          <t>Alta</t>
        </is>
      </c>
      <c r="D192" s="3" t="inlineStr">
        <is>
          <t>Estudio PDF (lienzo)</t>
        </is>
      </c>
      <c r="E192" s="3" t="inlineStr">
        <is>
          <t>Crear un diseño con texto, formas, tabla y guardar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CP-PDF-04</t>
        </is>
      </c>
      <c r="B193" s="8" t="inlineStr">
        <is>
          <t>Plantillas PDF (básicas · Estudio · Diseñador)</t>
        </is>
      </c>
      <c r="C193" s="7" t="inlineStr">
        <is>
          <t>Alta</t>
        </is>
      </c>
      <c r="D193" s="8" t="inlineStr">
        <is>
          <t>Estudio: variables con datos reales</t>
        </is>
      </c>
      <c r="E193" s="8" t="inlineStr">
        <is>
          <t>Elegir una base en el panel de datos → Vista previa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CP-PDF-05</t>
        </is>
      </c>
      <c r="B194" s="3" t="inlineStr">
        <is>
          <t>Plantillas PDF (básicas · Estudio · Diseñador)</t>
        </is>
      </c>
      <c r="C194" s="2" t="inlineStr">
        <is>
          <t>Media</t>
        </is>
      </c>
      <c r="D194" s="3" t="inlineStr">
        <is>
          <t>Estudio: unidades y reglas</t>
        </is>
      </c>
      <c r="E194" s="3" t="inlineStr">
        <is>
          <t>Cambiar la unidad (mm/cm/pt/px/in) y usar 1:1 / ajustar a ventana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CP-PDF-06</t>
        </is>
      </c>
      <c r="B195" s="8" t="inlineStr">
        <is>
          <t>Plantillas PDF (básicas · Estudio · Diseñador)</t>
        </is>
      </c>
      <c r="C195" s="7" t="inlineStr">
        <is>
          <t>Media</t>
        </is>
      </c>
      <c r="D195" s="8" t="inlineStr">
        <is>
          <t>Estudio: seleccionar elemento rotado</t>
        </is>
      </c>
      <c r="E195" s="8" t="inlineStr">
        <is>
          <t>Girar un texto y hacer clic dentro de su caja visual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CP-PDF-07</t>
        </is>
      </c>
      <c r="B196" s="3" t="inlineStr">
        <is>
          <t>Plantillas PDF (básicas · Estudio · Diseñador)</t>
        </is>
      </c>
      <c r="C196" s="2" t="inlineStr">
        <is>
          <t>Media</t>
        </is>
      </c>
      <c r="D196" s="3" t="inlineStr">
        <is>
          <t>Estudio: estilos vinculados</t>
        </is>
      </c>
      <c r="E196" s="3" t="inlineStr">
        <is>
          <t>Vincular un estilo de texto/párrafo y editarlo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CP-PDF-08</t>
        </is>
      </c>
      <c r="B197" s="8" t="inlineStr">
        <is>
          <t>Plantillas PDF (básicas · Estudio · Diseñador)</t>
        </is>
      </c>
      <c r="C197" s="7" t="inlineStr">
        <is>
          <t>Media</t>
        </is>
      </c>
      <c r="D197" s="8" t="inlineStr">
        <is>
          <t>Diseñador PDF (full)</t>
        </is>
      </c>
      <c r="E197" s="8" t="inlineStr">
        <is>
          <t>Abrir el Diseñador y crear un documento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CP-PDF-09</t>
        </is>
      </c>
      <c r="B198" s="3" t="inlineStr">
        <is>
          <t>Plantillas PDF (básicas · Estudio · Diseñador)</t>
        </is>
      </c>
      <c r="C198" s="2" t="inlineStr">
        <is>
          <t>Alta</t>
        </is>
      </c>
      <c r="D198" s="3" t="inlineStr">
        <is>
          <t>Campaña EAP-PDF de punta a punta</t>
        </is>
      </c>
      <c r="E198" s="3" t="inlineStr">
        <is>
          <t>Crear campaña EAP tipo PDF con una plantilla del Estudio, muestras y envío real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CP-PDF-10</t>
        </is>
      </c>
      <c r="B199" s="8" t="inlineStr">
        <is>
          <t>Plantillas PDF (básicas · Estudio · Diseñador)</t>
        </is>
      </c>
      <c r="C199" s="7" t="inlineStr">
        <is>
          <t>Alta</t>
        </is>
      </c>
      <c r="D199" s="8" t="inlineStr">
        <is>
          <t>Tabla que desborda pagina</t>
        </is>
      </c>
      <c r="E199" s="8" t="inlineStr">
        <is>
          <t>Plantilla con tabla repeatBy y un registro con 30+ filas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CP-PDF-11</t>
        </is>
      </c>
      <c r="B200" s="3" t="inlineStr">
        <is>
          <t>Plantillas PDF (básicas · Estudio · Diseñador)</t>
        </is>
      </c>
      <c r="C200" s="2" t="inlineStr">
        <is>
          <t>Media</t>
        </is>
      </c>
      <c r="D200" s="3" t="inlineStr">
        <is>
          <t>Celdas con JSON (multiregistro)</t>
        </is>
      </c>
      <c r="E200" s="3" t="inlineStr">
        <is>
          <t>Base con una columna que trae un array JSON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CP-PDF-12</t>
        </is>
      </c>
      <c r="B201" s="8" t="inlineStr">
        <is>
          <t>Plantillas PDF (básicas · Estudio · Diseñador)</t>
        </is>
      </c>
      <c r="C201" s="7" t="inlineStr">
        <is>
          <t>Media</t>
        </is>
      </c>
      <c r="D201" s="8" t="inlineStr">
        <is>
          <t>Encabezados con BOM/espacios</t>
        </is>
      </c>
      <c r="E201" s="8" t="inlineStr">
        <is>
          <t>Base exportada de Excel (BOM en la 1ª columna)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CP-PDF-13</t>
        </is>
      </c>
      <c r="B202" s="3" t="inlineStr">
        <is>
          <t>Plantillas PDF (básicas · Estudio · Diseñador)</t>
        </is>
      </c>
      <c r="C202" s="2" t="inlineStr">
        <is>
          <t>Baja</t>
        </is>
      </c>
      <c r="D202" s="3" t="inlineStr">
        <is>
          <t>Bordes y degradados</t>
        </is>
      </c>
      <c r="E202" s="3" t="inlineStr">
        <is>
          <t>Formas con borde discontinuo y relleno degradado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CP-APR-01</t>
        </is>
      </c>
      <c r="B203" s="8" t="inlineStr">
        <is>
          <t>Aprobaciones (maker-checker) y programación de envíos</t>
        </is>
      </c>
      <c r="C203" s="7" t="inlineStr">
        <is>
          <t>Alta</t>
        </is>
      </c>
      <c r="D203" s="8" t="inlineStr">
        <is>
          <t>Solicitar aprobación</t>
        </is>
      </c>
      <c r="E203" s="8" t="inlineStr">
        <is>
          <t>Campaña con muestras enviadas → "Solicitar aprobación"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CP-APR-02</t>
        </is>
      </c>
      <c r="B204" s="3" t="inlineStr">
        <is>
          <t>Aprobaciones (maker-checker) y programación de envíos</t>
        </is>
      </c>
      <c r="C204" s="2" t="inlineStr">
        <is>
          <t>Alta</t>
        </is>
      </c>
      <c r="D204" s="3" t="inlineStr">
        <is>
          <t>Sin muestras no se puede pedir</t>
        </is>
      </c>
      <c r="E204" s="3" t="inlineStr">
        <is>
          <t>Campaña sin muestras → solicitar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CP-APR-03</t>
        </is>
      </c>
      <c r="B205" s="8" t="inlineStr">
        <is>
          <t>Aprobaciones (maker-checker) y programación de envíos</t>
        </is>
      </c>
      <c r="C205" s="7" t="inlineStr">
        <is>
          <t>Alta</t>
        </is>
      </c>
      <c r="D205" s="8" t="inlineStr">
        <is>
          <t>Aprobar habilita el envío real</t>
        </is>
      </c>
      <c r="E205" s="8" t="inlineStr">
        <is>
          <t>Aprobador aprueba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CP-APR-04</t>
        </is>
      </c>
      <c r="B206" s="3" t="inlineStr">
        <is>
          <t>Aprobaciones (maker-checker) y programación de envíos</t>
        </is>
      </c>
      <c r="C206" s="2" t="inlineStr">
        <is>
          <t>Alta</t>
        </is>
      </c>
      <c r="D206" s="3" t="inlineStr">
        <is>
          <t>Operator NO puede aprobar</t>
        </is>
      </c>
      <c r="E206" s="3" t="inlineStr">
        <is>
          <t>Usuario operator llama a /Campaign/Approve (por API, no por UI)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CP-APR-05</t>
        </is>
      </c>
      <c r="B207" s="8" t="inlineStr">
        <is>
          <t>Aprobaciones (maker-checker) y programación de envíos</t>
        </is>
      </c>
      <c r="C207" s="7" t="inlineStr">
        <is>
          <t>Alta</t>
        </is>
      </c>
      <c r="D207" s="8" t="inlineStr">
        <is>
          <t>Operator NO puede enviar real</t>
        </is>
      </c>
      <c r="E207" s="8" t="inlineStr">
        <is>
          <t>Usuario operator dispara el envío real por API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CP-APR-06</t>
        </is>
      </c>
      <c r="B208" s="3" t="inlineStr">
        <is>
          <t>Aprobaciones (maker-checker) y programación de envíos</t>
        </is>
      </c>
      <c r="C208" s="2" t="inlineStr">
        <is>
          <t>Media</t>
        </is>
      </c>
      <c r="D208" s="3" t="inlineStr">
        <is>
          <t>Rechazar con motivo</t>
        </is>
      </c>
      <c r="E208" s="3" t="inlineStr">
        <is>
          <t>Rechazar sin motivo y con motivo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CP-APR-07</t>
        </is>
      </c>
      <c r="B209" s="8" t="inlineStr">
        <is>
          <t>Aprobaciones (maker-checker) y programación de envíos</t>
        </is>
      </c>
      <c r="C209" s="7" t="inlineStr">
        <is>
          <t>Media</t>
        </is>
      </c>
      <c r="D209" s="8" t="inlineStr">
        <is>
          <t>Doble aprobación</t>
        </is>
      </c>
      <c r="E209" s="8" t="inlineStr">
        <is>
          <t>Aprobar una campaña ya aprobada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CP-SCH-01</t>
        </is>
      </c>
      <c r="B210" s="3" t="inlineStr">
        <is>
          <t>Aprobaciones (maker-checker) y programación de envíos</t>
        </is>
      </c>
      <c r="C210" s="2" t="inlineStr">
        <is>
          <t>Alta</t>
        </is>
      </c>
      <c r="D210" s="3" t="inlineStr">
        <is>
          <t>Programar envío</t>
        </is>
      </c>
      <c r="E210" s="3" t="inlineStr">
        <is>
          <t>Campaña aprobada → programar a una hora futura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CP-SCH-02</t>
        </is>
      </c>
      <c r="B211" s="8" t="inlineStr">
        <is>
          <t>Aprobaciones (maker-checker) y programación de envíos</t>
        </is>
      </c>
      <c r="C211" s="7" t="inlineStr">
        <is>
          <t>Alta</t>
        </is>
      </c>
      <c r="D211" s="8" t="inlineStr">
        <is>
          <t>Disparo a la hora exacta</t>
        </is>
      </c>
      <c r="E211" s="8" t="inlineStr">
        <is>
          <t>Programar a +2 minutos y esperar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CP-SCH-03</t>
        </is>
      </c>
      <c r="B212" s="3" t="inlineStr">
        <is>
          <t>Aprobaciones (maker-checker) y programación de envíos</t>
        </is>
      </c>
      <c r="C212" s="2" t="inlineStr">
        <is>
          <t>Media</t>
        </is>
      </c>
      <c r="D212" s="3" t="inlineStr">
        <is>
          <t>Fecha en el pasado</t>
        </is>
      </c>
      <c r="E212" s="3" t="inlineStr">
        <is>
          <t>Programar a una hora ya pasada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CP-SCH-04</t>
        </is>
      </c>
      <c r="B213" s="8" t="inlineStr">
        <is>
          <t>Aprobaciones (maker-checker) y programación de envíos</t>
        </is>
      </c>
      <c r="C213" s="7" t="inlineStr">
        <is>
          <t>Media</t>
        </is>
      </c>
      <c r="D213" s="8" t="inlineStr">
        <is>
          <t>Cancelar</t>
        </is>
      </c>
      <c r="E213" s="8" t="inlineStr">
        <is>
          <t>Cancelar una programación pending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CP-SCH-05</t>
        </is>
      </c>
      <c r="B214" s="3" t="inlineStr">
        <is>
          <t>Aprobaciones (maker-checker) y programación de envíos</t>
        </is>
      </c>
      <c r="C214" s="2" t="inlineStr">
        <is>
          <t>Media</t>
        </is>
      </c>
      <c r="D214" s="3" t="inlineStr">
        <is>
          <t>Cancelar una ya disparada</t>
        </is>
      </c>
      <c r="E214" s="3" t="inlineStr">
        <is>
          <t>Cancelar una sent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CP-SCH-06</t>
        </is>
      </c>
      <c r="B215" s="8" t="inlineStr">
        <is>
          <t>Aprobaciones (maker-checker) y programación de envíos</t>
        </is>
      </c>
      <c r="C215" s="7" t="inlineStr">
        <is>
          <t>Media</t>
        </is>
      </c>
      <c r="D215" s="8" t="inlineStr">
        <is>
          <t>Sin aprobación no programa</t>
        </is>
      </c>
      <c r="E215" s="8" t="inlineStr">
        <is>
          <t>Campaña sin aprobar → programar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CP-SCH-07</t>
        </is>
      </c>
      <c r="B216" s="3" t="inlineStr">
        <is>
          <t>Aprobaciones (maker-checker) y programación de envíos</t>
        </is>
      </c>
      <c r="C216" s="2" t="inlineStr">
        <is>
          <t>Media</t>
        </is>
      </c>
      <c r="D216" s="3" t="inlineStr">
        <is>
          <t>Zona horaria</t>
        </is>
      </c>
      <c r="E216" s="3" t="inlineStr">
        <is>
          <t>Programar 3:00 p. m. hora local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CP-USR-01</t>
        </is>
      </c>
      <c r="B217" s="8" t="inlineStr">
        <is>
          <t>Equipo del cliente y roles</t>
        </is>
      </c>
      <c r="C217" s="7" t="inlineStr">
        <is>
          <t>Alta</t>
        </is>
      </c>
      <c r="D217" s="8" t="inlineStr">
        <is>
          <t>NIT ya registrado</t>
        </is>
      </c>
      <c r="E217" s="8" t="inlineStr">
        <is>
          <t>Registrarse con el NIT de una empresa existente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CP-USR-02</t>
        </is>
      </c>
      <c r="B218" s="3" t="inlineStr">
        <is>
          <t>Equipo del cliente y roles</t>
        </is>
      </c>
      <c r="C218" s="2" t="inlineStr">
        <is>
          <t>Alta</t>
        </is>
      </c>
      <c r="D218" s="3" t="inlineStr">
        <is>
          <t>Owner agrega usuario</t>
        </is>
      </c>
      <c r="E218" s="3" t="inlineStr">
        <is>
          <t>Tab Usuarios → agregar con rol operator/approver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CP-USR-03</t>
        </is>
      </c>
      <c r="B219" s="8" t="inlineStr">
        <is>
          <t>Equipo del cliente y roles</t>
        </is>
      </c>
      <c r="C219" s="7" t="inlineStr">
        <is>
          <t>Media</t>
        </is>
      </c>
      <c r="D219" s="8" t="inlineStr">
        <is>
          <t>Tope de usuarios</t>
        </is>
      </c>
      <c r="E219" s="8" t="inlineStr">
        <is>
          <t>Agregar más allá de MAX_TEAM_USERS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CP-USR-04</t>
        </is>
      </c>
      <c r="B220" s="3" t="inlineStr">
        <is>
          <t>Equipo del cliente y roles</t>
        </is>
      </c>
      <c r="C220" s="2" t="inlineStr">
        <is>
          <t>Media</t>
        </is>
      </c>
      <c r="D220" s="3" t="inlineStr">
        <is>
          <t>Correo duplicado</t>
        </is>
      </c>
      <c r="E220" s="3" t="inlineStr">
        <is>
          <t>Agregar un correo que ya existe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CP-USR-05</t>
        </is>
      </c>
      <c r="B221" s="8" t="inlineStr">
        <is>
          <t>Equipo del cliente y roles</t>
        </is>
      </c>
      <c r="C221" s="7" t="inlineStr">
        <is>
          <t>Alta</t>
        </is>
      </c>
      <c r="D221" s="8" t="inlineStr">
        <is>
          <t>Solo el owner gestiona</t>
        </is>
      </c>
      <c r="E221" s="8" t="inlineStr">
        <is>
          <t>Un operator abre el tab Usuarios / llama la API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CP-USR-06</t>
        </is>
      </c>
      <c r="B222" s="3" t="inlineStr">
        <is>
          <t>Equipo del cliente y roles</t>
        </is>
      </c>
      <c r="C222" s="2" t="inlineStr">
        <is>
          <t>Media</t>
        </is>
      </c>
      <c r="D222" s="3" t="inlineStr">
        <is>
          <t>Eliminar usuario</t>
        </is>
      </c>
      <c r="E222" s="3" t="inlineStr">
        <is>
          <t>Eliminar un miembro del equipo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CP-USR-07</t>
        </is>
      </c>
      <c r="B223" s="8" t="inlineStr">
        <is>
          <t>Equipo del cliente y roles</t>
        </is>
      </c>
      <c r="C223" s="7" t="inlineStr">
        <is>
          <t>Media</t>
        </is>
      </c>
      <c r="D223" s="8" t="inlineStr">
        <is>
          <t>Definir contraseña</t>
        </is>
      </c>
      <c r="E223" s="8" t="inlineStr">
        <is>
          <t>Usuario nuevo usa "¿olvidaste tu contraseña?"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CP-USR-08</t>
        </is>
      </c>
      <c r="B224" s="3" t="inlineStr">
        <is>
          <t>Equipo del cliente y roles</t>
        </is>
      </c>
      <c r="C224" s="2" t="inlineStr">
        <is>
          <t>Alta</t>
        </is>
      </c>
      <c r="D224" s="3" t="inlineStr">
        <is>
          <t>Refresh preserva el sub-rol</t>
        </is>
      </c>
      <c r="E224" s="3" t="inlineStr">
        <is>
          <t>Loguear como operator, esperar el refresco del token e intentar aprobar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CP-DOM-01</t>
        </is>
      </c>
      <c r="B225" s="8" t="inlineStr">
        <is>
          <t>Dominios y correos remitentes</t>
        </is>
      </c>
      <c r="C225" s="7" t="inlineStr">
        <is>
          <t>Alta</t>
        </is>
      </c>
      <c r="D225" s="8" t="inlineStr">
        <is>
          <t>Agregar dominio</t>
        </is>
      </c>
      <c r="E225" s="8" t="inlineStr">
        <is>
          <t>Registrar empresa.com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CP-DOM-02</t>
        </is>
      </c>
      <c r="B226" s="3" t="inlineStr">
        <is>
          <t>Dominios y correos remitentes</t>
        </is>
      </c>
      <c r="C226" s="2" t="inlineStr">
        <is>
          <t>Alta</t>
        </is>
      </c>
      <c r="D226" s="3" t="inlineStr">
        <is>
          <t>Verificación tras publicar DNS</t>
        </is>
      </c>
      <c r="E226" s="3" t="inlineStr">
        <is>
          <t>Publicar los registros y refrescar la lista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CP-DOM-03</t>
        </is>
      </c>
      <c r="B227" s="8" t="inlineStr">
        <is>
          <t>Dominios y correos remitentes</t>
        </is>
      </c>
      <c r="C227" s="7" t="inlineStr">
        <is>
          <t>Alta</t>
        </is>
      </c>
      <c r="D227" s="8" t="inlineStr">
        <is>
          <t>Agregar correo</t>
        </is>
      </c>
      <c r="E227" s="8" t="inlineStr">
        <is>
          <t>Registrar ventas@empresa.com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CP-DOM-04</t>
        </is>
      </c>
      <c r="B228" s="3" t="inlineStr">
        <is>
          <t>Dominios y correos remitentes</t>
        </is>
      </c>
      <c r="C228" s="2" t="inlineStr">
        <is>
          <t>Media</t>
        </is>
      </c>
      <c r="D228" s="3" t="inlineStr">
        <is>
          <t>Reenviar verificación</t>
        </is>
      </c>
      <c r="E228" s="3" t="inlineStr">
        <is>
          <t>Volver a agregar un correo pendiente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CP-DOM-05</t>
        </is>
      </c>
      <c r="B229" s="8" t="inlineStr">
        <is>
          <t>Dominios y correos remitentes</t>
        </is>
      </c>
      <c r="C229" s="7" t="inlineStr">
        <is>
          <t>Alta</t>
        </is>
      </c>
      <c r="D229" s="8" t="inlineStr">
        <is>
          <t>Solo el owner</t>
        </is>
      </c>
      <c r="E229" s="8" t="inlineStr">
        <is>
          <t>operator intenta agregar o borrar un dominio (por API)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CP-DOM-06</t>
        </is>
      </c>
      <c r="B230" s="3" t="inlineStr">
        <is>
          <t>Dominios y correos remitentes</t>
        </is>
      </c>
      <c r="C230" s="2" t="inlineStr">
        <is>
          <t>Alta</t>
        </is>
      </c>
      <c r="D230" s="3" t="inlineStr">
        <is>
          <t>Anti-spoofing en la campaña</t>
        </is>
      </c>
      <c r="E230" s="3" t="inlineStr">
        <is>
          <t>Crear campaña con un from de un dominio que NO es del cliente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CP-DOM-07</t>
        </is>
      </c>
      <c r="B231" s="8" t="inlineStr">
        <is>
          <t>Dominios y correos remitentes</t>
        </is>
      </c>
      <c r="C231" s="7" t="inlineStr">
        <is>
          <t>Media</t>
        </is>
      </c>
      <c r="D231" s="8" t="inlineStr">
        <is>
          <t>Remitente verificado en el selector</t>
        </is>
      </c>
      <c r="E231" s="8" t="inlineStr">
        <is>
          <t>Crear campaña y abrir el selector "De (From)"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CP-DOM-08</t>
        </is>
      </c>
      <c r="B232" s="3" t="inlineStr">
        <is>
          <t>Dominios y correos remitentes</t>
        </is>
      </c>
      <c r="C232" s="2" t="inlineStr">
        <is>
          <t>Media</t>
        </is>
      </c>
      <c r="D232" s="3" t="inlineStr">
        <is>
          <t>Eliminar dominio</t>
        </is>
      </c>
      <c r="E232" s="3" t="inlineStr">
        <is>
          <t>Borrar un dominio verificado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CP-2FA-01</t>
        </is>
      </c>
      <c r="B233" s="8" t="inlineStr">
        <is>
          <t>Seguridad avanzada (2FA · bloqueo · revocación)</t>
        </is>
      </c>
      <c r="C233" s="7" t="inlineStr">
        <is>
          <t>Alta</t>
        </is>
      </c>
      <c r="D233" s="8" t="inlineStr">
        <is>
          <t>Activar 2FA</t>
        </is>
      </c>
      <c r="E233" s="8" t="inlineStr">
        <is>
          <t>Mi cuenta → escanear el QR con Google Authenticator → introducir el código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CP-2FA-02</t>
        </is>
      </c>
      <c r="B234" s="3" t="inlineStr">
        <is>
          <t>Seguridad avanzada (2FA · bloqueo · revocación)</t>
        </is>
      </c>
      <c r="C234" s="2" t="inlineStr">
        <is>
          <t>Alta</t>
        </is>
      </c>
      <c r="D234" s="3" t="inlineStr">
        <is>
          <t>Login con 2FA</t>
        </is>
      </c>
      <c r="E234" s="3" t="inlineStr">
        <is>
          <t>Loguear con usuario/clave de una cuenta con 2FA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CP-2FA-03</t>
        </is>
      </c>
      <c r="B235" s="8" t="inlineStr">
        <is>
          <t>Seguridad avanzada (2FA · bloqueo · revocación)</t>
        </is>
      </c>
      <c r="C235" s="7" t="inlineStr">
        <is>
          <t>Alta</t>
        </is>
      </c>
      <c r="D235" s="8" t="inlineStr">
        <is>
          <t>Código correcto</t>
        </is>
      </c>
      <c r="E235" s="8" t="inlineStr">
        <is>
          <t>Introducir el TOTP vigente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CP-2FA-04</t>
        </is>
      </c>
      <c r="B236" s="3" t="inlineStr">
        <is>
          <t>Seguridad avanzada (2FA · bloqueo · revocación)</t>
        </is>
      </c>
      <c r="C236" s="2" t="inlineStr">
        <is>
          <t>Alta</t>
        </is>
      </c>
      <c r="D236" s="3" t="inlineStr">
        <is>
          <t>Código de respaldo</t>
        </is>
      </c>
      <c r="E236" s="3" t="inlineStr">
        <is>
          <t>Entrar con un código de respaldo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CP-2FA-05</t>
        </is>
      </c>
      <c r="B237" s="8" t="inlineStr">
        <is>
          <t>Seguridad avanzada (2FA · bloqueo · revocación)</t>
        </is>
      </c>
      <c r="C237" s="7" t="inlineStr">
        <is>
          <t>Alta</t>
        </is>
      </c>
      <c r="D237" s="8" t="inlineStr">
        <is>
          <t>Anti-fuerza-bruta</t>
        </is>
      </c>
      <c r="E237" s="8" t="inlineStr">
        <is>
          <t>Fallar el código 5 veces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CP-2FA-06</t>
        </is>
      </c>
      <c r="B238" s="3" t="inlineStr">
        <is>
          <t>Seguridad avanzada (2FA · bloqueo · revocación)</t>
        </is>
      </c>
      <c r="C238" s="2" t="inlineStr">
        <is>
          <t>Media</t>
        </is>
      </c>
      <c r="D238" s="3" t="inlineStr">
        <is>
          <t>Desactivar 2FA</t>
        </is>
      </c>
      <c r="E238" s="3" t="inlineStr">
        <is>
          <t>Desactivar exigiendo un código válido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CP-2FA-07</t>
        </is>
      </c>
      <c r="B239" s="8" t="inlineStr">
        <is>
          <t>Seguridad avanzada (2FA · bloqueo · revocación)</t>
        </is>
      </c>
      <c r="C239" s="7" t="inlineStr">
        <is>
          <t>Media</t>
        </is>
      </c>
      <c r="D239" s="8" t="inlineStr">
        <is>
          <t>Auditoría del 2FA</t>
        </is>
      </c>
      <c r="E239" s="8" t="inlineStr">
        <is>
          <t>Activar y desactivar → tab Auditoría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CP-SEC-24</t>
        </is>
      </c>
      <c r="B240" s="3" t="inlineStr">
        <is>
          <t>Seguridad avanzada (2FA · bloqueo · revocación)</t>
        </is>
      </c>
      <c r="C240" s="2" t="inlineStr">
        <is>
          <t>Alta</t>
        </is>
      </c>
      <c r="D240" s="3" t="inlineStr">
        <is>
          <t>Bloqueo progresivo de login</t>
        </is>
      </c>
      <c r="E240" s="3" t="inlineStr">
        <is>
          <t>Fallar la contraseña 3 veces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CP-SEC-25</t>
        </is>
      </c>
      <c r="B241" s="8" t="inlineStr">
        <is>
          <t>Seguridad avanzada (2FA · bloqueo · revocación)</t>
        </is>
      </c>
      <c r="C241" s="7" t="inlineStr">
        <is>
          <t>Alta</t>
        </is>
      </c>
      <c r="D241" s="8" t="inlineStr">
        <is>
          <t>Escalada del bloqueo</t>
        </is>
      </c>
      <c r="E241" s="8" t="inlineStr">
        <is>
          <t>Tras los 5 min, fallar otra vez, y otra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CP-SEC-26</t>
        </is>
      </c>
      <c r="B242" s="3" t="inlineStr">
        <is>
          <t>Seguridad avanzada (2FA · bloqueo · revocación)</t>
        </is>
      </c>
      <c r="C242" s="2" t="inlineStr">
        <is>
          <t>Alta</t>
        </is>
      </c>
      <c r="D242" s="3" t="inlineStr">
        <is>
          <t>Bloqueo con clave correcta</t>
        </is>
      </c>
      <c r="E242" s="3" t="inlineStr">
        <is>
          <t>Con bloqueo vigente, entrar con la clave CORRECTA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CP-SEC-27</t>
        </is>
      </c>
      <c r="B243" s="8" t="inlineStr">
        <is>
          <t>Seguridad avanzada (2FA · bloqueo · revocación)</t>
        </is>
      </c>
      <c r="C243" s="7" t="inlineStr">
        <is>
          <t>Media</t>
        </is>
      </c>
      <c r="D243" s="8" t="inlineStr">
        <is>
          <t>Reset del contador</t>
        </is>
      </c>
      <c r="E243" s="8" t="inlineStr">
        <is>
          <t>Login correcto con la cuenta desbloqueada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CP-SEC-28</t>
        </is>
      </c>
      <c r="B244" s="3" t="inlineStr">
        <is>
          <t>Seguridad avanzada (2FA · bloqueo · revocación)</t>
        </is>
      </c>
      <c r="C244" s="2" t="inlineStr">
        <is>
          <t>Alta</t>
        </is>
      </c>
      <c r="D244" s="3" t="inlineStr">
        <is>
          <t>Revocación real de tokens</t>
        </is>
      </c>
      <c r="E244" s="3" t="inlineStr">
        <is>
          <t>Loguear, copiar el token, cerrar sesión y usar el token viejo en la API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CP-SEC-29</t>
        </is>
      </c>
      <c r="B245" s="8" t="inlineStr">
        <is>
          <t>Seguridad avanzada (2FA · bloqueo · revocación)</t>
        </is>
      </c>
      <c r="C245" s="7" t="inlineStr">
        <is>
          <t>Alta</t>
        </is>
      </c>
      <c r="D245" s="8" t="inlineStr">
        <is>
          <t>Cambio de clave revoca</t>
        </is>
      </c>
      <c r="E245" s="8" t="inlineStr">
        <is>
          <t>Cambiar la contraseña y usar un token emitido antes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CP-SEC-30</t>
        </is>
      </c>
      <c r="B246" s="3" t="inlineStr">
        <is>
          <t>Seguridad avanzada (2FA · bloqueo · revocación)</t>
        </is>
      </c>
      <c r="C246" s="2" t="inlineStr">
        <is>
          <t>Alta</t>
        </is>
      </c>
      <c r="D246" s="3" t="inlineStr">
        <is>
          <t>Segunda barrera admin</t>
        </is>
      </c>
      <c r="E246" s="3" t="inlineStr">
        <is>
          <t>Llamar una ruta admin con el context falsificado pero SIN token válido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CP-SEC-31</t>
        </is>
      </c>
      <c r="B247" s="8" t="inlineStr">
        <is>
          <t>Seguridad avanzada (2FA · bloqueo · revocación)</t>
        </is>
      </c>
      <c r="C247" s="7" t="inlineStr">
        <is>
          <t>Alta</t>
        </is>
      </c>
      <c r="D247" s="8" t="inlineStr">
        <is>
          <t>Token de cliente en ruta admin</t>
        </is>
      </c>
      <c r="E247" s="8" t="inlineStr">
        <is>
          <t>Llamar /Customer/List con un token role=client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CP-SEC-32</t>
        </is>
      </c>
      <c r="B248" s="3" t="inlineStr">
        <is>
          <t>Seguridad avanzada (2FA · bloqueo · revocación)</t>
        </is>
      </c>
      <c r="C248" s="2" t="inlineStr">
        <is>
          <t>Media</t>
        </is>
      </c>
      <c r="D248" s="3" t="inlineStr">
        <is>
          <t>Sesión por pestaña</t>
        </is>
      </c>
      <c r="E248" s="3" t="inlineStr">
        <is>
          <t>Cerrar la pestaña y volver a abrir la app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CP-SEC-33</t>
        </is>
      </c>
      <c r="B249" s="8" t="inlineStr">
        <is>
          <t>Seguridad avanzada (2FA · bloqueo · revocación)</t>
        </is>
      </c>
      <c r="C249" s="7" t="inlineStr">
        <is>
          <t>Media</t>
        </is>
      </c>
      <c r="D249" s="8" t="inlineStr">
        <is>
          <t>Sesión compartida entre pestañas</t>
        </is>
      </c>
      <c r="E249" s="8" t="inlineStr">
        <is>
          <t>Con sesión abierta, abrir una pestaña nueva de la app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CP-SEC-34</t>
        </is>
      </c>
      <c r="B250" s="3" t="inlineStr">
        <is>
          <t>Seguridad avanzada (2FA · bloqueo · revocación)</t>
        </is>
      </c>
      <c r="C250" s="2" t="inlineStr">
        <is>
          <t>Media</t>
        </is>
      </c>
      <c r="D250" s="3" t="inlineStr">
        <is>
          <t>Logout difundido</t>
        </is>
      </c>
      <c r="E250" s="3" t="inlineStr">
        <is>
          <t>Cerrar sesión en una pestaña con otras abiertas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CP-CMD-01</t>
        </is>
      </c>
      <c r="B251" s="8" t="inlineStr">
        <is>
          <t>Admin — Centro de mando, salud, soporte e impersonación</t>
        </is>
      </c>
      <c r="C251" s="7" t="inlineStr">
        <is>
          <t>Alta</t>
        </is>
      </c>
      <c r="D251" s="8" t="inlineStr">
        <is>
          <t>Centro de mando carga</t>
        </is>
      </c>
      <c r="E251" s="8" t="inlineStr">
        <is>
          <t>Entrar a /admin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CP-CMD-02</t>
        </is>
      </c>
      <c r="B252" s="3" t="inlineStr">
        <is>
          <t>Admin — Centro de mando, salud, soporte e impersonación</t>
        </is>
      </c>
      <c r="C252" s="2" t="inlineStr">
        <is>
          <t>Alta</t>
        </is>
      </c>
      <c r="D252" s="3" t="inlineStr">
        <is>
          <t>Procesos atascados</t>
        </is>
      </c>
      <c r="E252" s="3" t="inlineStr">
        <is>
          <t>Con un proceso en Enviando desde hace &gt; 2 h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CP-CMD-03</t>
        </is>
      </c>
      <c r="B253" s="8" t="inlineStr">
        <is>
          <t>Admin — Centro de mando, salud, soporte e impersonación</t>
        </is>
      </c>
      <c r="C253" s="7" t="inlineStr">
        <is>
          <t>Alta</t>
        </is>
      </c>
      <c r="D253" s="8" t="inlineStr">
        <is>
          <t>DLQ con mensajes = crítico</t>
        </is>
      </c>
      <c r="E253" s="8" t="inlineStr">
        <is>
          <t>Meter un mensaje en una DLQ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CP-CMD-04</t>
        </is>
      </c>
      <c r="B254" s="3" t="inlineStr">
        <is>
          <t>Admin — Centro de mando, salud, soporte e impersonación</t>
        </is>
      </c>
      <c r="C254" s="2" t="inlineStr">
        <is>
          <t>Media</t>
        </is>
      </c>
      <c r="D254" s="3" t="inlineStr">
        <is>
          <t>Dinero del día</t>
        </is>
      </c>
      <c r="E254" s="3" t="inlineStr">
        <is>
          <t>Revisar débitos/recargas de hoy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CP-CMD-05</t>
        </is>
      </c>
      <c r="B255" s="8" t="inlineStr">
        <is>
          <t>Admin — Centro de mando, salud, soporte e impersonación</t>
        </is>
      </c>
      <c r="C255" s="7" t="inlineStr">
        <is>
          <t>Alta</t>
        </is>
      </c>
      <c r="D255" s="8" t="inlineStr">
        <is>
          <t>Saldo de plataforma sin huérfanos</t>
        </is>
      </c>
      <c r="E255" s="8" t="inlineStr">
        <is>
          <t>Comparar "Saldo total" del centro de mando con el tab Saldos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CP-CMD-06</t>
        </is>
      </c>
      <c r="B256" s="3" t="inlineStr">
        <is>
          <t>Admin — Centro de mando, salud, soporte e impersonación</t>
        </is>
      </c>
      <c r="C256" s="2" t="inlineStr">
        <is>
          <t>Media</t>
        </is>
      </c>
      <c r="D256" s="3" t="inlineStr">
        <is>
          <t>Reputación con tendencia</t>
        </is>
      </c>
      <c r="E256" s="3" t="inlineStr">
        <is>
          <t>Sección de reputación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CP-CMD-07</t>
        </is>
      </c>
      <c r="B257" s="8" t="inlineStr">
        <is>
          <t>Admin — Centro de mando, salud, soporte e impersonación</t>
        </is>
      </c>
      <c r="C257" s="7" t="inlineStr">
        <is>
          <t>Media</t>
        </is>
      </c>
      <c r="D257" s="8" t="inlineStr">
        <is>
          <t>Salud de servicios</t>
        </is>
      </c>
      <c r="E257" s="8" t="inlineStr">
        <is>
          <t>Revisar la cuota SES y las tablas/colas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CP-CMD-08</t>
        </is>
      </c>
      <c r="B258" s="3" t="inlineStr">
        <is>
          <t>Admin — Centro de mando, salud, soporte e impersonación</t>
        </is>
      </c>
      <c r="C258" s="2" t="inlineStr">
        <is>
          <t>Baja</t>
        </is>
      </c>
      <c r="D258" s="3" t="inlineStr">
        <is>
          <t>Auto-refresco</t>
        </is>
      </c>
      <c r="E258" s="3" t="inlineStr">
        <is>
          <t>Dejar el switch de auto-refresco activo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CP-DEP-01</t>
        </is>
      </c>
      <c r="B259" s="8" t="inlineStr">
        <is>
          <t>Admin — Centro de mando, salud, soporte e impersonación</t>
        </is>
      </c>
      <c r="C259" s="7" t="inlineStr">
        <is>
          <t>Alta</t>
        </is>
      </c>
      <c r="D259" s="8" t="inlineStr">
        <is>
          <t>Salud de despliegue</t>
        </is>
      </c>
      <c r="E259" s="8" t="inlineStr">
        <is>
          <t>Abrir el tab y esperar la verificación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CP-DEP-02</t>
        </is>
      </c>
      <c r="B260" s="3" t="inlineStr">
        <is>
          <t>Admin — Centro de mando, salud, soporte e impersonación</t>
        </is>
      </c>
      <c r="C260" s="2" t="inlineStr">
        <is>
          <t>Alta</t>
        </is>
      </c>
      <c r="D260" s="3" t="inlineStr">
        <is>
          <t>Recurso faltante</t>
        </is>
      </c>
      <c r="E260" s="3" t="inlineStr">
        <is>
          <t>Con una tabla crítica sin crear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CP-DEP-03</t>
        </is>
      </c>
      <c r="B261" s="8" t="inlineStr">
        <is>
          <t>Admin — Centro de mando, salud, soporte e impersonación</t>
        </is>
      </c>
      <c r="C261" s="7" t="inlineStr">
        <is>
          <t>Media</t>
        </is>
      </c>
      <c r="D261" s="8" t="inlineStr">
        <is>
          <t>Sin permiso IAM ≠ faltante</t>
        </is>
      </c>
      <c r="E261" s="8" t="inlineStr">
        <is>
          <t>Quitar el permiso de lectura de lambdas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CP-DEP-04</t>
        </is>
      </c>
      <c r="B262" s="3" t="inlineStr">
        <is>
          <t>Admin — Centro de mando, salud, soporte e impersonación</t>
        </is>
      </c>
      <c r="C262" s="2" t="inlineStr">
        <is>
          <t>Baja</t>
        </is>
      </c>
      <c r="D262" s="3" t="inlineStr">
        <is>
          <t>Carga no bloqueante</t>
        </is>
      </c>
      <c r="E262" s="3" t="inlineStr">
        <is>
          <t>Abrir el tab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CP-SOP-01</t>
        </is>
      </c>
      <c r="B263" s="8" t="inlineStr">
        <is>
          <t>Admin — Centro de mando, salud, soporte e impersonación</t>
        </is>
      </c>
      <c r="C263" s="7" t="inlineStr">
        <is>
          <t>Alta</t>
        </is>
      </c>
      <c r="D263" s="8" t="inlineStr">
        <is>
          <t>Buscar destinatario</t>
        </is>
      </c>
      <c r="E263" s="8" t="inlineStr">
        <is>
          <t>Soporte → buscar un correo de un cliente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CP-SOP-02</t>
        </is>
      </c>
      <c r="B264" s="3" t="inlineStr">
        <is>
          <t>Admin — Centro de mando, salud, soporte e impersonación</t>
        </is>
      </c>
      <c r="C264" s="2" t="inlineStr">
        <is>
          <t>Media</t>
        </is>
      </c>
      <c r="D264" s="3" t="inlineStr">
        <is>
          <t>Buscar por celular</t>
        </is>
      </c>
      <c r="E264" s="3" t="inlineStr">
        <is>
          <t>Buscar 3001234567 sin prefijo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CP-SOP-03</t>
        </is>
      </c>
      <c r="B265" s="8" t="inlineStr">
        <is>
          <t>Admin — Centro de mando, salud, soporte e impersonación</t>
        </is>
      </c>
      <c r="C265" s="7" t="inlineStr">
        <is>
          <t>Media</t>
        </is>
      </c>
      <c r="D265" s="8" t="inlineStr">
        <is>
          <t>Banderas de listas</t>
        </is>
      </c>
      <c r="E265" s="8" t="inlineStr">
        <is>
          <t>Buscar un contacto en lista negra / desuscrito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CP-SOP-04</t>
        </is>
      </c>
      <c r="B266" s="3" t="inlineStr">
        <is>
          <t>Admin — Centro de mando, salud, soporte e impersonación</t>
        </is>
      </c>
      <c r="C266" s="2" t="inlineStr">
        <is>
          <t>Alta</t>
        </is>
      </c>
      <c r="D266" s="3" t="inlineStr">
        <is>
          <t>Reenviar activación</t>
        </is>
      </c>
      <c r="E266" s="3" t="inlineStr">
        <is>
          <t>Ficha de cliente → reenviar activación a una cuenta inactiva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CP-SOP-05</t>
        </is>
      </c>
      <c r="B267" s="8" t="inlineStr">
        <is>
          <t>Admin — Centro de mando, salud, soporte e impersonación</t>
        </is>
      </c>
      <c r="C267" s="7" t="inlineStr">
        <is>
          <t>Media</t>
        </is>
      </c>
      <c r="D267" s="8" t="inlineStr">
        <is>
          <t>Activación en cuenta ya activa</t>
        </is>
      </c>
      <c r="E267" s="8" t="inlineStr">
        <is>
          <t>Reenviar activación a una cuenta activa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CP-SOP-06</t>
        </is>
      </c>
      <c r="B268" s="3" t="inlineStr">
        <is>
          <t>Admin — Centro de mando, salud, soporte e impersonación</t>
        </is>
      </c>
      <c r="C268" s="2" t="inlineStr">
        <is>
          <t>Alta</t>
        </is>
      </c>
      <c r="D268" s="3" t="inlineStr">
        <is>
          <t>Forzar reseteo</t>
        </is>
      </c>
      <c r="E268" s="3" t="inlineStr">
        <is>
          <t>Ficha → forzar reseteo de contraseña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CP-SOP-07</t>
        </is>
      </c>
      <c r="B269" s="8" t="inlineStr">
        <is>
          <t>Admin — Centro de mando, salud, soporte e impersonación</t>
        </is>
      </c>
      <c r="C269" s="7" t="inlineStr">
        <is>
          <t>Alta</t>
        </is>
      </c>
      <c r="D269" s="8" t="inlineStr">
        <is>
          <t>Cerrar sesiones</t>
        </is>
      </c>
      <c r="E269" s="8" t="inlineStr">
        <is>
          <t>Ficha → cerrar sesiones de un usuario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CP-SOP-08</t>
        </is>
      </c>
      <c r="B270" s="3" t="inlineStr">
        <is>
          <t>Admin — Centro de mando, salud, soporte e impersonación</t>
        </is>
      </c>
      <c r="C270" s="2" t="inlineStr">
        <is>
          <t>Media</t>
        </is>
      </c>
      <c r="D270" s="3" t="inlineStr">
        <is>
          <t>Plantillas SES globales</t>
        </is>
      </c>
      <c r="E270" s="3" t="inlineStr">
        <is>
          <t>Soporte → Plantillas SES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CP-SOP-09</t>
        </is>
      </c>
      <c r="B271" s="8" t="inlineStr">
        <is>
          <t>Admin — Centro de mando, salud, soporte e impersonación</t>
        </is>
      </c>
      <c r="C271" s="7" t="inlineStr">
        <is>
          <t>Alta</t>
        </is>
      </c>
      <c r="D271" s="8" t="inlineStr">
        <is>
          <t>Ver plantilla de otro cliente</t>
        </is>
      </c>
      <c r="E271" s="8" t="inlineStr">
        <is>
          <t>Admin abre el contenido de una plantilla de otra empresa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CP-SOP-10</t>
        </is>
      </c>
      <c r="B272" s="3" t="inlineStr">
        <is>
          <t>Admin — Centro de mando, salud, soporte e impersonación</t>
        </is>
      </c>
      <c r="C272" s="2" t="inlineStr">
        <is>
          <t>Media</t>
        </is>
      </c>
      <c r="D272" s="3" t="inlineStr">
        <is>
          <t>Dominios globales</t>
        </is>
      </c>
      <c r="E272" s="3" t="inlineStr">
        <is>
          <t>Soporte → Dominios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CP-IMP-01</t>
        </is>
      </c>
      <c r="B273" s="8" t="inlineStr">
        <is>
          <t>Admin — Centro de mando, salud, soporte e impersonación</t>
        </is>
      </c>
      <c r="C273" s="7" t="inlineStr">
        <is>
          <t>Alta</t>
        </is>
      </c>
      <c r="D273" s="8" t="inlineStr">
        <is>
          <t>Ver como cliente</t>
        </is>
      </c>
      <c r="E273" s="8" t="inlineStr">
        <is>
          <t>Ficha de cliente → "Ver como cliente"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CP-IMP-02</t>
        </is>
      </c>
      <c r="B274" s="3" t="inlineStr">
        <is>
          <t>Admin — Centro de mando, salud, soporte e impersonación</t>
        </is>
      </c>
      <c r="C274" s="2" t="inlineStr">
        <is>
          <t>Alta</t>
        </is>
      </c>
      <c r="D274" s="3" t="inlineStr">
        <is>
          <t>La impersonación no envía</t>
        </is>
      </c>
      <c r="E274" s="3" t="inlineStr">
        <is>
          <t>Estando impersonado, intentar enviar muestras o envío real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CP-IMP-03</t>
        </is>
      </c>
      <c r="B275" s="8" t="inlineStr">
        <is>
          <t>Admin — Centro de mando, salud, soporte e impersonación</t>
        </is>
      </c>
      <c r="C275" s="7" t="inlineStr">
        <is>
          <t>Alta</t>
        </is>
      </c>
      <c r="D275" s="8" t="inlineStr">
        <is>
          <t>Salir de la vista</t>
        </is>
      </c>
      <c r="E275" s="8" t="inlineStr">
        <is>
          <t>Botón "Salir de la vista"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CP-IMP-04</t>
        </is>
      </c>
      <c r="B276" s="3" t="inlineStr">
        <is>
          <t>Admin — Centro de mando, salud, soporte e impersonación</t>
        </is>
      </c>
      <c r="C276" s="2" t="inlineStr">
        <is>
          <t>Media</t>
        </is>
      </c>
      <c r="D276" s="3" t="inlineStr">
        <is>
          <t>Expira sola</t>
        </is>
      </c>
      <c r="E276" s="3" t="inlineStr">
        <is>
          <t>Dejar pasar más de 30 minutos impersonado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CP-IMP-05</t>
        </is>
      </c>
      <c r="B277" s="8" t="inlineStr">
        <is>
          <t>Admin — Centro de mando, salud, soporte e impersonación</t>
        </is>
      </c>
      <c r="C277" s="7" t="inlineStr">
        <is>
          <t>Media</t>
        </is>
      </c>
      <c r="D277" s="8" t="inlineStr">
        <is>
          <t>Auditoría</t>
        </is>
      </c>
      <c r="E277" s="8" t="inlineStr">
        <is>
          <t>Impersonar → tab Auditoría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CP-CFG-01</t>
        </is>
      </c>
      <c r="B278" s="3" t="inlineStr">
        <is>
          <t>Configuración de plataforma y por cliente</t>
        </is>
      </c>
      <c r="C278" s="2" t="inlineStr">
        <is>
          <t>Alta</t>
        </is>
      </c>
      <c r="D278" s="3" t="inlineStr">
        <is>
          <t>Interruptor global del IVA</t>
        </is>
      </c>
      <c r="E278" s="3" t="inlineStr">
        <is>
          <t>Configuración → apagar "Cobrar IVA"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CP-CFG-02</t>
        </is>
      </c>
      <c r="B279" s="8" t="inlineStr">
        <is>
          <t>Configuración de plataforma y por cliente</t>
        </is>
      </c>
      <c r="C279" s="7" t="inlineStr">
        <is>
          <t>Alta</t>
        </is>
      </c>
      <c r="D279" s="8" t="inlineStr">
        <is>
          <t>IVA apagado: estimador y débito coinciden</t>
        </is>
      </c>
      <c r="E279" s="8" t="inlineStr">
        <is>
          <t>Con el IVA apagado, comparar el estimado con lo debitado en un envío real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CP-CFG-03</t>
        </is>
      </c>
      <c r="B280" s="3" t="inlineStr">
        <is>
          <t>Configuración de plataforma y por cliente</t>
        </is>
      </c>
      <c r="C280" s="2" t="inlineStr">
        <is>
          <t>Alta</t>
        </is>
      </c>
      <c r="D280" s="3" t="inlineStr">
        <is>
          <t>IVA encendido</t>
        </is>
      </c>
      <c r="E280" s="3" t="inlineStr">
        <is>
          <t>Volver a encenderlo y repetir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CP-CFG-04</t>
        </is>
      </c>
      <c r="B281" s="8" t="inlineStr">
        <is>
          <t>Configuración de plataforma y por cliente</t>
        </is>
      </c>
      <c r="C281" s="7" t="inlineStr">
        <is>
          <t>Media</t>
        </is>
      </c>
      <c r="D281" s="8" t="inlineStr">
        <is>
          <t>Tarifas con IVA apagado</t>
        </is>
      </c>
      <c r="E281" s="8" t="inlineStr">
        <is>
          <t>Abrir Tarifas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CP-CFG-05</t>
        </is>
      </c>
      <c r="B282" s="3" t="inlineStr">
        <is>
          <t>Configuración de plataforma y por cliente</t>
        </is>
      </c>
      <c r="C282" s="2" t="inlineStr">
        <is>
          <t>Media</t>
        </is>
      </c>
      <c r="D282" s="3" t="inlineStr">
        <is>
          <t>Otros ajustes</t>
        </is>
      </c>
      <c r="E282" s="3" t="inlineStr">
        <is>
          <t>Cambiar SENDER_EMAIL y OTP_EXPIRATION_MIN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CP-CFG-06</t>
        </is>
      </c>
      <c r="B283" s="8" t="inlineStr">
        <is>
          <t>Configuración de plataforma y por cliente</t>
        </is>
      </c>
      <c r="C283" s="7" t="inlineStr">
        <is>
          <t>Alta</t>
        </is>
      </c>
      <c r="D283" s="8" t="inlineStr">
        <is>
          <t>Funciones por cliente</t>
        </is>
      </c>
      <c r="E283" s="8" t="inlineStr">
        <is>
          <t>Apagar "Plantillas PDF avanzadas" a un cliente y que ese cliente vuelva a entrar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CP-CFG-07</t>
        </is>
      </c>
      <c r="B284" s="3" t="inlineStr">
        <is>
          <t>Configuración de plataforma y por cliente</t>
        </is>
      </c>
      <c r="C284" s="2" t="inlineStr">
        <is>
          <t>Media</t>
        </is>
      </c>
      <c r="D284" s="3" t="inlineStr">
        <is>
          <t>Cliente nuevo sin funciones avanzadas</t>
        </is>
      </c>
      <c r="E284" s="3" t="inlineStr">
        <is>
          <t>Registrar una empresa nueva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CP-CFG-08</t>
        </is>
      </c>
      <c r="B285" s="8" t="inlineStr">
        <is>
          <t>Configuración de plataforma y por cliente</t>
        </is>
      </c>
      <c r="C285" s="7" t="inlineStr">
        <is>
          <t>Media</t>
        </is>
      </c>
      <c r="D285" s="8" t="inlineStr">
        <is>
          <t>Clientes existentes no cambian</t>
        </is>
      </c>
      <c r="E285" s="8" t="inlineStr">
        <is>
          <t>Revisar un cliente antiguo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CP-CFG-09</t>
        </is>
      </c>
      <c r="B286" s="3" t="inlineStr">
        <is>
          <t>Configuración de plataforma y por cliente</t>
        </is>
      </c>
      <c r="C286" s="2" t="inlineStr">
        <is>
          <t>Alta</t>
        </is>
      </c>
      <c r="D286" s="3" t="inlineStr">
        <is>
          <t>Cuotas de envío</t>
        </is>
      </c>
      <c r="E286" s="3" t="inlineStr">
        <is>
          <t>Fijar tope por campaña y diario, y superarlos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CP-CFG-10</t>
        </is>
      </c>
      <c r="B287" s="8" t="inlineStr">
        <is>
          <t>Configuración de plataforma y por cliente</t>
        </is>
      </c>
      <c r="C287" s="7" t="inlineStr">
        <is>
          <t>Media</t>
        </is>
      </c>
      <c r="D287" s="8" t="inlineStr">
        <is>
          <t>Cuota diaria excluye muestras</t>
        </is>
      </c>
      <c r="E287" s="8" t="inlineStr">
        <is>
          <t>Enviar muestras y luego el envío real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CP-CFG-11</t>
        </is>
      </c>
      <c r="B288" s="3" t="inlineStr">
        <is>
          <t>Configuración de plataforma y por cliente</t>
        </is>
      </c>
      <c r="C288" s="2" t="inlineStr">
        <is>
          <t>Media</t>
        </is>
      </c>
      <c r="D288" s="3" t="inlineStr">
        <is>
          <t>Sin tope configurado</t>
        </is>
      </c>
      <c r="E288" s="3" t="inlineStr">
        <is>
          <t>Cliente con cuotas en 0/vacío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CP-CFG-12</t>
        </is>
      </c>
      <c r="B289" s="8" t="inlineStr">
        <is>
          <t>Configuración de plataforma y por cliente</t>
        </is>
      </c>
      <c r="C289" s="7" t="inlineStr">
        <is>
          <t>Alta</t>
        </is>
      </c>
      <c r="D289" s="8" t="inlineStr">
        <is>
          <t>IP de envío dedicada</t>
        </is>
      </c>
      <c r="E289" s="8" t="inlineStr">
        <is>
          <t>Asignar un configuration set a un cliente y enviar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CP-CFG-13</t>
        </is>
      </c>
      <c r="B290" s="3" t="inlineStr">
        <is>
          <t>Configuración de plataforma y por cliente</t>
        </is>
      </c>
      <c r="C290" s="2" t="inlineStr">
        <is>
          <t>Media</t>
        </is>
      </c>
      <c r="D290" s="3" t="inlineStr">
        <is>
          <t>Volver al pool general</t>
        </is>
      </c>
      <c r="E290" s="3" t="inlineStr">
        <is>
          <t>Quitar la IP dedicada del cliente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CP-CFG-14</t>
        </is>
      </c>
      <c r="B291" s="8" t="inlineStr">
        <is>
          <t>Configuración de plataforma y por cliente</t>
        </is>
      </c>
      <c r="C291" s="7" t="inlineStr">
        <is>
          <t>Media</t>
        </is>
      </c>
      <c r="D291" s="8" t="inlineStr">
        <is>
          <t>Eliminar cliente</t>
        </is>
      </c>
      <c r="E291" s="8" t="inlineStr">
        <is>
          <t>Admin → eliminar una empresa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CP-NOT-01</t>
        </is>
      </c>
      <c r="B292" s="3" t="inlineStr">
        <is>
          <t>Notificaciones y preferencias del suscriptor</t>
        </is>
      </c>
      <c r="C292" s="2" t="inlineStr">
        <is>
          <t>Alta</t>
        </is>
      </c>
      <c r="D292" s="3" t="inlineStr">
        <is>
          <t>Aviso de saldo bajo</t>
        </is>
      </c>
      <c r="E292" s="3" t="inlineStr">
        <is>
          <t>Con el umbral en 20.000, hacer un envío que deje el saldo por debajo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CP-NOT-02</t>
        </is>
      </c>
      <c r="B293" s="8" t="inlineStr">
        <is>
          <t>Notificaciones y preferencias del suscriptor</t>
        </is>
      </c>
      <c r="C293" s="7" t="inlineStr">
        <is>
          <t>Media</t>
        </is>
      </c>
      <c r="D293" s="8" t="inlineStr">
        <is>
          <t>No se repite el mismo día</t>
        </is>
      </c>
      <c r="E293" s="8" t="inlineStr">
        <is>
          <t>Hacer otro envío el mismo día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CP-NOT-03</t>
        </is>
      </c>
      <c r="B294" s="3" t="inlineStr">
        <is>
          <t>Notificaciones y preferencias del suscriptor</t>
        </is>
      </c>
      <c r="C294" s="2" t="inlineStr">
        <is>
          <t>Media</t>
        </is>
      </c>
      <c r="D294" s="3" t="inlineStr">
        <is>
          <t>Aviso desactivado</t>
        </is>
      </c>
      <c r="E294" s="3" t="inlineStr">
        <is>
          <t>Apagar el aviso de saldo bajo en Mi cuenta y repetir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CP-NOT-04</t>
        </is>
      </c>
      <c r="B295" s="8" t="inlineStr">
        <is>
          <t>Notificaciones y preferencias del suscriptor</t>
        </is>
      </c>
      <c r="C295" s="7" t="inlineStr">
        <is>
          <t>Media</t>
        </is>
      </c>
      <c r="D295" s="8" t="inlineStr">
        <is>
          <t>Resumen diario</t>
        </is>
      </c>
      <c r="E295" s="8" t="inlineStr">
        <is>
          <t>Activar el resumen y esperar el cron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CP-NOT-05</t>
        </is>
      </c>
      <c r="B296" s="3" t="inlineStr">
        <is>
          <t>Notificaciones y preferencias del suscriptor</t>
        </is>
      </c>
      <c r="C296" s="2" t="inlineStr">
        <is>
          <t>Media</t>
        </is>
      </c>
      <c r="D296" s="3" t="inlineStr">
        <is>
          <t>Reputación en riesgo</t>
        </is>
      </c>
      <c r="E296" s="3" t="inlineStr">
        <is>
          <t>Cliente con rebote por encima del umbral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CP-NOT-06</t>
        </is>
      </c>
      <c r="B297" s="8" t="inlineStr">
        <is>
          <t>Notificaciones y preferencias del suscriptor</t>
        </is>
      </c>
      <c r="C297" s="7" t="inlineStr">
        <is>
          <t>Media</t>
        </is>
      </c>
      <c r="D297" s="8" t="inlineStr">
        <is>
          <t>Solo el owner configura</t>
        </is>
      </c>
      <c r="E297" s="8" t="inlineStr">
        <is>
          <t>operator intenta cambiar las preferencias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CP-PREF-01</t>
        </is>
      </c>
      <c r="B298" s="3" t="inlineStr">
        <is>
          <t>Notificaciones y preferencias del suscriptor</t>
        </is>
      </c>
      <c r="C298" s="2" t="inlineStr">
        <is>
          <t>Alta</t>
        </is>
      </c>
      <c r="D298" s="3" t="inlineStr">
        <is>
          <t>Centro de preferencias</t>
        </is>
      </c>
      <c r="E298" s="3" t="inlineStr">
        <is>
          <t>Abrir el enlace "Administrar preferencias" de un correo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CP-PREF-02</t>
        </is>
      </c>
      <c r="B299" s="8" t="inlineStr">
        <is>
          <t>Notificaciones y preferencias del suscriptor</t>
        </is>
      </c>
      <c r="C299" s="7" t="inlineStr">
        <is>
          <t>Alta</t>
        </is>
      </c>
      <c r="D299" s="8" t="inlineStr">
        <is>
          <t>Elegir "ninguna" da de baja</t>
        </is>
      </c>
      <c r="E299" s="8" t="inlineStr">
        <is>
          <t>Marcar "ninguna" y guardar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CP-PREF-03</t>
        </is>
      </c>
      <c r="B300" s="3" t="inlineStr">
        <is>
          <t>Notificaciones y preferencias del suscriptor</t>
        </is>
      </c>
      <c r="C300" s="2" t="inlineStr">
        <is>
          <t>Media</t>
        </is>
      </c>
      <c r="D300" s="3" t="inlineStr">
        <is>
          <t>Re-suscribir</t>
        </is>
      </c>
      <c r="E300" s="3" t="inlineStr">
        <is>
          <t>Volver a elegir otra frecuencia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CP-PREF-04</t>
        </is>
      </c>
      <c r="B301" s="8" t="inlineStr">
        <is>
          <t>Notificaciones y preferencias del suscriptor</t>
        </is>
      </c>
      <c r="C301" s="7" t="inlineStr">
        <is>
          <t>Alta</t>
        </is>
      </c>
      <c r="D301" s="8" t="inlineStr">
        <is>
          <t>Token inválido</t>
        </is>
      </c>
      <c r="E301" s="8" t="inlineStr">
        <is>
          <t>Abrir la página con un token manipulado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CP-PREF-05</t>
        </is>
      </c>
      <c r="B302" s="3" t="inlineStr">
        <is>
          <t>Notificaciones y preferencias del suscriptor</t>
        </is>
      </c>
      <c r="C302" s="2" t="inlineStr">
        <is>
          <t>Media</t>
        </is>
      </c>
      <c r="D302" s="3" t="inlineStr">
        <is>
          <t>Baja directa</t>
        </is>
      </c>
      <c r="E302" s="3" t="inlineStr">
        <is>
          <t>Usar el enlace de "Cancelar suscripción"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CP-HIG-01</t>
        </is>
      </c>
      <c r="B303" s="8" t="inlineStr">
        <is>
          <t>Higiene, límites de uso y costo del adjunto</t>
        </is>
      </c>
      <c r="C303" s="7" t="inlineStr">
        <is>
          <t>Alta</t>
        </is>
      </c>
      <c r="D303" s="8" t="inlineStr">
        <is>
          <t>Verificar higiene</t>
        </is>
      </c>
      <c r="E303" s="8" t="inlineStr">
        <is>
          <t>Bases de datos → botón escudo sobre una base con correos malos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CP-HIG-02</t>
        </is>
      </c>
      <c r="B304" s="3" t="inlineStr">
        <is>
          <t>Higiene, límites de uso y costo del adjunto</t>
        </is>
      </c>
      <c r="C304" s="2" t="inlineStr">
        <is>
          <t>Media</t>
        </is>
      </c>
      <c r="D304" s="3" t="inlineStr">
        <is>
          <t>Base limpia</t>
        </is>
      </c>
      <c r="E304" s="3" t="inlineStr">
        <is>
          <t>Verificar una base correcta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CP-HIG-03</t>
        </is>
      </c>
      <c r="B305" s="8" t="inlineStr">
        <is>
          <t>Higiene, límites de uso y costo del adjunto</t>
        </is>
      </c>
      <c r="C305" s="7" t="inlineStr">
        <is>
          <t>Media</t>
        </is>
      </c>
      <c r="D305" s="8" t="inlineStr">
        <is>
          <t>Base de celulares</t>
        </is>
      </c>
      <c r="E305" s="8" t="inlineStr">
        <is>
          <t>Verificar una base de canal SMS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CP-HIG-04</t>
        </is>
      </c>
      <c r="B306" s="3" t="inlineStr">
        <is>
          <t>Higiene, límites de uso y costo del adjunto</t>
        </is>
      </c>
      <c r="C306" s="2" t="inlineStr">
        <is>
          <t>Media</t>
        </is>
      </c>
      <c r="D306" s="3" t="inlineStr">
        <is>
          <t>Base de otro cliente</t>
        </is>
      </c>
      <c r="E306" s="3" t="inlineStr">
        <is>
          <t>Verificar por API una base ajena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CP-RL-01</t>
        </is>
      </c>
      <c r="B307" s="8" t="inlineStr">
        <is>
          <t>Higiene, límites de uso y costo del adjunto</t>
        </is>
      </c>
      <c r="C307" s="7" t="inlineStr">
        <is>
          <t>Alta</t>
        </is>
      </c>
      <c r="D307" s="8" t="inlineStr">
        <is>
          <t>Límite del asistente público</t>
        </is>
      </c>
      <c r="E307" s="8" t="inlineStr">
        <is>
          <t>Escribirle al chat de la landing más de 6 veces en un minuto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CP-RL-02</t>
        </is>
      </c>
      <c r="B308" s="3" t="inlineStr">
        <is>
          <t>Higiene, límites de uso y costo del adjunto</t>
        </is>
      </c>
      <c r="C308" s="2" t="inlineStr">
        <is>
          <t>Media</t>
        </is>
      </c>
      <c r="D308" s="3" t="inlineStr">
        <is>
          <t>Tope diario</t>
        </is>
      </c>
      <c r="E308" s="3" t="inlineStr">
        <is>
          <t>Superar el tope diario por IP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CP-RL-03</t>
        </is>
      </c>
      <c r="B309" s="8" t="inlineStr">
        <is>
          <t>Higiene, límites de uso y costo del adjunto</t>
        </is>
      </c>
      <c r="C309" s="7" t="inlineStr">
        <is>
          <t>Media</t>
        </is>
      </c>
      <c r="D309" s="8" t="inlineStr">
        <is>
          <t>IPs independientes</t>
        </is>
      </c>
      <c r="E309" s="8" t="inlineStr">
        <is>
          <t>Otra IP escribe tras agotarse la primera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CP-RL-04</t>
        </is>
      </c>
      <c r="B310" s="3" t="inlineStr">
        <is>
          <t>Higiene, límites de uso y costo del adjunto</t>
        </is>
      </c>
      <c r="C310" s="2" t="inlineStr">
        <is>
          <t>Baja</t>
        </is>
      </c>
      <c r="D310" s="3" t="inlineStr">
        <is>
          <t>El asistente responde</t>
        </is>
      </c>
      <c r="E310" s="3" t="inlineStr">
        <is>
          <t>Preguntar por precios/canales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CP-RL-05</t>
        </is>
      </c>
      <c r="B311" s="8" t="inlineStr">
        <is>
          <t>Higiene, límites de uso y costo del adjunto</t>
        </is>
      </c>
      <c r="C311" s="7" t="inlineStr">
        <is>
          <t>Media</t>
        </is>
      </c>
      <c r="D311" s="8" t="inlineStr">
        <is>
          <t>Guardrails</t>
        </is>
      </c>
      <c r="E311" s="8" t="inlineStr">
        <is>
          <t>Pedirle el saldo de una cuenta real o el mensaje de sistema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CP-PES-01</t>
        </is>
      </c>
      <c r="B312" s="3" t="inlineStr">
        <is>
          <t>Higiene, límites de uso y costo del adjunto</t>
        </is>
      </c>
      <c r="C312" s="2" t="inlineStr">
        <is>
          <t>Alta</t>
        </is>
      </c>
      <c r="D312" s="3" t="inlineStr">
        <is>
          <t>Medir peso real (EAU)</t>
        </is>
      </c>
      <c r="E312" s="3" t="inlineStr">
        <is>
          <t>Campaña EAU → "Medir peso real"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CP-PES-02</t>
        </is>
      </c>
      <c r="B313" s="8" t="inlineStr">
        <is>
          <t>Higiene, límites de uso y costo del adjunto</t>
        </is>
      </c>
      <c r="C313" s="7" t="inlineStr">
        <is>
          <t>Alta</t>
        </is>
      </c>
      <c r="D313" s="8" t="inlineStr">
        <is>
          <t>Medir peso real (EAP-PDF)</t>
        </is>
      </c>
      <c r="E313" s="8" t="inlineStr">
        <is>
          <t>Campaña EAP-PDF → "Medir peso real"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CP-PES-03</t>
        </is>
      </c>
      <c r="B314" s="3" t="inlineStr">
        <is>
          <t>Higiene, límites de uso y costo del adjunto</t>
        </is>
      </c>
      <c r="C314" s="2" t="inlineStr">
        <is>
          <t>Media</t>
        </is>
      </c>
      <c r="D314" s="3" t="inlineStr">
        <is>
          <t>EAP-DOCX</t>
        </is>
      </c>
      <c r="E314" s="3" t="inlineStr">
        <is>
          <t>Campaña EAP-DOCX → medir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CP-PES-04</t>
        </is>
      </c>
      <c r="B315" s="8" t="inlineStr">
        <is>
          <t>Higiene, límites de uso y costo del adjunto</t>
        </is>
      </c>
      <c r="C315" s="7" t="inlineStr">
        <is>
          <t>Alta</t>
        </is>
      </c>
      <c r="D315" s="8" t="inlineStr">
        <is>
          <t>El botón aparece al elegir campaña</t>
        </is>
      </c>
      <c r="E315" s="8" t="inlineStr">
        <is>
          <t>Entrar a Muestras SIN campaña, luego elegir una EAU/EAP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CP-PES-05</t>
        </is>
      </c>
      <c r="B316" s="3" t="inlineStr">
        <is>
          <t>Higiene, límites de uso y costo del adjunto</t>
        </is>
      </c>
      <c r="C316" s="2" t="inlineStr">
        <is>
          <t>Media</t>
        </is>
      </c>
      <c r="D316" s="3" t="inlineStr">
        <is>
          <t>Cambiar de campaña limpia el estimado</t>
        </is>
      </c>
      <c r="E316" s="3" t="inlineStr">
        <is>
          <t>Elegir otra campaña tras haber medido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CP-PES-06</t>
        </is>
      </c>
      <c r="B317" s="8" t="inlineStr">
        <is>
          <t>Higiene, límites de uso y costo del adjunto</t>
        </is>
      </c>
      <c r="C317" s="7" t="inlineStr">
        <is>
          <t>Media</t>
        </is>
      </c>
      <c r="D317" s="8" t="inlineStr">
        <is>
          <t>Canal sin adjunto</t>
        </is>
      </c>
      <c r="E317" s="8" t="inlineStr">
        <is>
          <t>Campaña EM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CP-CAS-01</t>
        </is>
      </c>
      <c r="B318" s="3" t="inlineStr">
        <is>
          <t>Cascada omnicanal y series</t>
        </is>
      </c>
      <c r="C318" s="2" t="inlineStr">
        <is>
          <t>Alta</t>
        </is>
      </c>
      <c r="D318" s="3" t="inlineStr">
        <is>
          <t>Lanzar cascada</t>
        </is>
      </c>
      <c r="E318" s="3" t="inlineStr">
        <is>
          <t>Configurar pasos (correo → SMS → WhatsApp) y lanzar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CP-CAS-02</t>
        </is>
      </c>
      <c r="B319" s="8" t="inlineStr">
        <is>
          <t>Cascada omnicanal y series</t>
        </is>
      </c>
      <c r="C319" s="7" t="inlineStr">
        <is>
          <t>Alta</t>
        </is>
      </c>
      <c r="D319" s="8" t="inlineStr">
        <is>
          <t>Escalado al siguiente canal</t>
        </is>
      </c>
      <c r="E319" s="8" t="inlineStr">
        <is>
          <t>Contacto que no cumple el criterio en el paso 0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CP-CAS-03</t>
        </is>
      </c>
      <c r="B320" s="3" t="inlineStr">
        <is>
          <t>Cascada omnicanal y series</t>
        </is>
      </c>
      <c r="C320" s="2" t="inlineStr">
        <is>
          <t>Media</t>
        </is>
      </c>
      <c r="D320" s="3" t="inlineStr">
        <is>
          <t>Confirmado no escala</t>
        </is>
      </c>
      <c r="E320" s="3" t="inlineStr">
        <is>
          <t>Contacto que sí cumple el criterio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CP-CAS-04</t>
        </is>
      </c>
      <c r="B321" s="8" t="inlineStr">
        <is>
          <t>Cascada omnicanal y series</t>
        </is>
      </c>
      <c r="C321" s="7" t="inlineStr">
        <is>
          <t>Alta</t>
        </is>
      </c>
      <c r="D321" s="8" t="inlineStr">
        <is>
          <t>Saldo insuficiente</t>
        </is>
      </c>
      <c r="E321" s="8" t="inlineStr">
        <is>
          <t>Cascada sin saldo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CP-CAS-05</t>
        </is>
      </c>
      <c r="B322" s="3" t="inlineStr">
        <is>
          <t>Cascada omnicanal y series</t>
        </is>
      </c>
      <c r="C322" s="2" t="inlineStr">
        <is>
          <t>Media</t>
        </is>
      </c>
      <c r="D322" s="3" t="inlineStr">
        <is>
          <t>Consentimiento por canal</t>
        </is>
      </c>
      <c r="E322" s="3" t="inlineStr">
        <is>
          <t>Contacto sin consentimiento del canal 0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CP-CAS-06</t>
        </is>
      </c>
      <c r="B323" s="8" t="inlineStr">
        <is>
          <t>Cascada omnicanal y series</t>
        </is>
      </c>
      <c r="C323" s="7" t="inlineStr">
        <is>
          <t>Media</t>
        </is>
      </c>
      <c r="D323" s="8" t="inlineStr">
        <is>
          <t>Listado de cascadas</t>
        </is>
      </c>
      <c r="E323" s="8" t="inlineStr">
        <is>
          <t>Abrir el listado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CP-SER-01</t>
        </is>
      </c>
      <c r="B324" s="3" t="inlineStr">
        <is>
          <t>Cascada omnicanal y series</t>
        </is>
      </c>
      <c r="C324" s="2" t="inlineStr">
        <is>
          <t>Alta</t>
        </is>
      </c>
      <c r="D324" s="3" t="inlineStr">
        <is>
          <t>Serie de 30 días (cliente)</t>
        </is>
      </c>
      <c r="E324" s="3" t="inlineStr">
        <is>
          <t>Estadísticas → gráfico "Actividad de los últimos 30 días"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CP-SER-02</t>
        </is>
      </c>
      <c r="B325" s="8" t="inlineStr">
        <is>
          <t>Cascada omnicanal y series</t>
        </is>
      </c>
      <c r="C325" s="7" t="inlineStr">
        <is>
          <t>Media</t>
        </is>
      </c>
      <c r="D325" s="8" t="inlineStr">
        <is>
          <t>Serie global (admin)</t>
        </is>
      </c>
      <c r="E325" s="8" t="inlineStr">
        <is>
          <t>Panel de control → gráfico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CP-SER-03</t>
        </is>
      </c>
      <c r="B326" s="3" t="inlineStr">
        <is>
          <t>Cascada omnicanal y series</t>
        </is>
      </c>
      <c r="C326" s="2" t="inlineStr">
        <is>
          <t>Media</t>
        </is>
      </c>
      <c r="D326" s="3" t="inlineStr">
        <is>
          <t>Muestras excluidas</t>
        </is>
      </c>
      <c r="E326" s="3" t="inlineStr">
        <is>
          <t>Enviar muestras y revisar la serie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CP-SER-04</t>
        </is>
      </c>
      <c r="B327" s="8" t="inlineStr">
        <is>
          <t>Cascada omnicanal y series</t>
        </is>
      </c>
      <c r="C327" s="7" t="inlineStr">
        <is>
          <t>Media</t>
        </is>
      </c>
      <c r="D327" s="8" t="inlineStr">
        <is>
          <t>Aislamiento</t>
        </is>
      </c>
      <c r="E327" s="8" t="inlineStr">
        <is>
          <t>Comparar la serie de dos clientes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CP-SER-05</t>
        </is>
      </c>
      <c r="B328" s="3" t="inlineStr">
        <is>
          <t>Cascada omnicanal y series</t>
        </is>
      </c>
      <c r="C328" s="2" t="inlineStr">
        <is>
          <t>Baja</t>
        </is>
      </c>
      <c r="D328" s="3" t="inlineStr">
        <is>
          <t>Adiós "(parcial)"</t>
        </is>
      </c>
      <c r="E328" s="3" t="inlineStr">
        <is>
          <t>Con el rollup poblado, abrir Estadísticas/Facturación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CP-SER-06</t>
        </is>
      </c>
      <c r="B329" s="8" t="inlineStr">
        <is>
          <t>Cascada omnicanal y series</t>
        </is>
      </c>
      <c r="C329" s="7" t="inlineStr">
        <is>
          <t>Baja</t>
        </is>
      </c>
      <c r="D329" s="8" t="inlineStr">
        <is>
          <t>Leyenda interactiva</t>
        </is>
      </c>
      <c r="E329" s="8" t="inlineStr">
        <is>
          <t>Ocultar/mostrar series en el gráfico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CP-REG-01</t>
        </is>
      </c>
      <c r="B330" s="3" t="inlineStr">
        <is>
          <t>Regresión / transversales</t>
        </is>
      </c>
      <c r="C330" s="2" t="inlineStr">
        <is>
          <t>Alta</t>
        </is>
      </c>
      <c r="D330" s="3" t="inlineStr">
        <is>
          <t>Aislamiento multi-tenant</t>
        </is>
      </c>
      <c r="E330" s="3" t="inlineStr">
        <is>
          <t>Cliente A intenta ver datos de B (campañas/bases/stats)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CP-REG-02</t>
        </is>
      </c>
      <c r="B331" s="8" t="inlineStr">
        <is>
          <t>Regresión / transversales</t>
        </is>
      </c>
      <c r="C331" s="7" t="inlineStr">
        <is>
          <t>Media</t>
        </is>
      </c>
      <c r="D331" s="8" t="inlineStr">
        <is>
          <t>Suite automática</t>
        </is>
      </c>
      <c r="E331" s="8" t="inlineStr">
        <is>
          <t>Correr pytest 08_Pruebas/PruebasSeguridad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CP-REG-03</t>
        </is>
      </c>
      <c r="B332" s="3" t="inlineStr">
        <is>
          <t>Regresión / transversales</t>
        </is>
      </c>
      <c r="C332" s="2" t="inlineStr">
        <is>
          <t>Media</t>
        </is>
      </c>
      <c r="D332" s="3" t="inlineStr">
        <is>
          <t>Build del front</t>
        </is>
      </c>
      <c r="E332" s="3" t="inlineStr">
        <is>
          <t>npm run build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CP-REG-06</t>
        </is>
      </c>
      <c r="B333" s="8" t="inlineStr">
        <is>
          <t>Regresión / transversales</t>
        </is>
      </c>
      <c r="C333" s="7" t="inlineStr">
        <is>
          <t>Media</t>
        </is>
      </c>
      <c r="D333" s="8" t="inlineStr">
        <is>
          <t>Pruebas del frontend</t>
        </is>
      </c>
      <c r="E333" s="8" t="inlineStr">
        <is>
          <t>npm test en 05_Frontend/Front/page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CP-REG-07</t>
        </is>
      </c>
      <c r="B334" s="3" t="inlineStr">
        <is>
          <t>Regresión / transversales</t>
        </is>
      </c>
      <c r="C334" s="2" t="inlineStr">
        <is>
          <t>Alta</t>
        </is>
      </c>
      <c r="D334" s="3" t="inlineStr">
        <is>
          <t>Sesión y tenant en TODA ruta nueva</t>
        </is>
      </c>
      <c r="E334" s="3" t="inlineStr">
        <is>
          <t>Llamar cualquier endpoint nuevo sin token y con token de otro cliente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CP-REG-08</t>
        </is>
      </c>
      <c r="B335" s="8" t="inlineStr">
        <is>
          <t>Regresión / transversales</t>
        </is>
      </c>
      <c r="C335" s="7" t="inlineStr">
        <is>
          <t>Baja</t>
        </is>
      </c>
      <c r="D335" s="8" t="inlineStr">
        <is>
          <t>Fechas unificadas</t>
        </is>
      </c>
      <c r="E335" s="8" t="inlineStr">
        <is>
          <t>Revisar las tablas del portal y del admin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CP-REG-04</t>
        </is>
      </c>
      <c r="B336" s="3" t="inlineStr">
        <is>
          <t>Regresión / transversales</t>
        </is>
      </c>
      <c r="C336" s="2" t="inlineStr">
        <is>
          <t>Baja</t>
        </is>
      </c>
      <c r="D336" s="3" t="inlineStr">
        <is>
          <t>Tema claro/oscuro</t>
        </is>
      </c>
      <c r="E336" s="3" t="inlineStr">
        <is>
          <t>Alternar tema en portal y admin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CP-REG-05</t>
        </is>
      </c>
      <c r="B337" s="8" t="inlineStr">
        <is>
          <t>Regresión / transversales</t>
        </is>
      </c>
      <c r="C337" s="7" t="inlineStr">
        <is>
          <t>Baja</t>
        </is>
      </c>
      <c r="D337" s="8" t="inlineStr">
        <is>
          <t>Responsive</t>
        </is>
      </c>
      <c r="E337" s="8" t="inlineStr">
        <is>
          <t>Portal/admin en móvil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</sheetData>
  <autoFilter ref="A1:K337"/>
  <dataValidations count="2">
    <dataValidation sqref="H2:H337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337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COUNTA(Casos!A2:A337)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COUNTIF(Casos!$H$2:$H$337,A5)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COUNTIF(Casos!$H$2:$H$337,A6)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COUNTIF(Casos!$H$2:$H$337,A7)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COUNTIF(Casos!$H$2:$H$337,A8)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COUNTIF(Casos!$C$2:$C$337,A12)</f>
        <v/>
      </c>
      <c r="C12" s="10">
        <f>COUNTIFS(Casos!$C$2:$C$337,A12,Casos!$H$2:$H$337,"No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COUNTIF(Casos!$C$2:$C$337,A13)</f>
        <v/>
      </c>
      <c r="C13" s="10">
        <f>COUNTIFS(Casos!$C$2:$C$337,A13,Casos!$H$2:$H$337,"No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COUNTIF(Casos!$C$2:$C$337,A14)</f>
        <v/>
      </c>
      <c r="C14" s="10">
        <f>COUNTIFS(Casos!$C$2:$C$337,A14,Casos!$H$2:$H$337,"No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COUNTIF(Casos!$B$2:$B$337,$A18)</f>
        <v/>
      </c>
      <c r="C18" s="10">
        <f>COUNTIFS(Casos!$B$2:$B$337,$A18,Casos!$H$2:$H$337,"Pasó")</f>
        <v/>
      </c>
      <c r="D18" s="10">
        <f>COUNTIFS(Casos!$B$2:$B$337,$A18,Casos!$H$2:$H$337,"No pasó")</f>
        <v/>
      </c>
      <c r="E18" s="10">
        <f>B18-COUNTIFS(Casos!$B$2:$B$337,$A18,Casos!$H$2:$H$337,"&lt;&gt;")</f>
        <v/>
      </c>
    </row>
    <row r="19">
      <c r="A19" s="10" t="inlineStr">
        <is>
          <t>Auditoría (admin)</t>
        </is>
      </c>
      <c r="B19" s="10">
        <f>COUNTIF(Casos!$B$2:$B$337,$A19)</f>
        <v/>
      </c>
      <c r="C19" s="10">
        <f>COUNTIFS(Casos!$B$2:$B$337,$A19,Casos!$H$2:$H$337,"Pasó")</f>
        <v/>
      </c>
      <c r="D19" s="10">
        <f>COUNTIFS(Casos!$B$2:$B$337,$A19,Casos!$H$2:$H$337,"No pasó")</f>
        <v/>
      </c>
      <c r="E19" s="10">
        <f>B19-COUNTIFS(Casos!$B$2:$B$337,$A19,Casos!$H$2:$H$337,"&lt;&gt;")</f>
        <v/>
      </c>
    </row>
    <row r="20">
      <c r="A20" s="10" t="inlineStr">
        <is>
          <t>Panel admin</t>
        </is>
      </c>
      <c r="B20" s="10">
        <f>COUNTIF(Casos!$B$2:$B$337,$A20)</f>
        <v/>
      </c>
      <c r="C20" s="10">
        <f>COUNTIFS(Casos!$B$2:$B$337,$A20,Casos!$H$2:$H$337,"Pasó")</f>
        <v/>
      </c>
      <c r="D20" s="10">
        <f>COUNTIFS(Casos!$B$2:$B$337,$A20,Casos!$H$2:$H$337,"No pasó")</f>
        <v/>
      </c>
      <c r="E20" s="10">
        <f>B20-COUNTIFS(Casos!$B$2:$B$337,$A20,Casos!$H$2:$H$337,"&lt;&gt;")</f>
        <v/>
      </c>
    </row>
    <row r="21">
      <c r="A21" s="10" t="inlineStr">
        <is>
          <t>Portal cliente — Plantillas y Campañas</t>
        </is>
      </c>
      <c r="B21" s="10">
        <f>COUNTIF(Casos!$B$2:$B$337,$A21)</f>
        <v/>
      </c>
      <c r="C21" s="10">
        <f>COUNTIFS(Casos!$B$2:$B$337,$A21,Casos!$H$2:$H$337,"Pasó")</f>
        <v/>
      </c>
      <c r="D21" s="10">
        <f>COUNTIFS(Casos!$B$2:$B$337,$A21,Casos!$H$2:$H$337,"No pasó")</f>
        <v/>
      </c>
      <c r="E21" s="10">
        <f>B21-COUNTIFS(Casos!$B$2:$B$337,$A21,Casos!$H$2:$H$337,"&lt;&gt;")</f>
        <v/>
      </c>
    </row>
    <row r="22">
      <c r="A22" s="10" t="inlineStr">
        <is>
          <t>Portal cliente — Bases de datos (CSV + Excel)</t>
        </is>
      </c>
      <c r="B22" s="10">
        <f>COUNTIF(Casos!$B$2:$B$337,$A22)</f>
        <v/>
      </c>
      <c r="C22" s="10">
        <f>COUNTIFS(Casos!$B$2:$B$337,$A22,Casos!$H$2:$H$337,"Pasó")</f>
        <v/>
      </c>
      <c r="D22" s="10">
        <f>COUNTIFS(Casos!$B$2:$B$337,$A22,Casos!$H$2:$H$337,"No pasó")</f>
        <v/>
      </c>
      <c r="E22" s="10">
        <f>B22-COUNTIFS(Casos!$B$2:$B$337,$A22,Casos!$H$2:$H$337,"&lt;&gt;")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COUNTIF(Casos!$B$2:$B$337,$A23)</f>
        <v/>
      </c>
      <c r="C23" s="10">
        <f>COUNTIFS(Casos!$B$2:$B$337,$A23,Casos!$H$2:$H$337,"Pasó")</f>
        <v/>
      </c>
      <c r="D23" s="10">
        <f>COUNTIFS(Casos!$B$2:$B$337,$A23,Casos!$H$2:$H$337,"No pasó")</f>
        <v/>
      </c>
      <c r="E23" s="10">
        <f>B23-COUNTIFS(Casos!$B$2:$B$337,$A23,Casos!$H$2:$H$337,"&lt;&gt;")</f>
        <v/>
      </c>
    </row>
    <row r="24">
      <c r="A24" s="10" t="inlineStr">
        <is>
          <t>Envíos multicanal + estados de entrega</t>
        </is>
      </c>
      <c r="B24" s="10">
        <f>COUNTIF(Casos!$B$2:$B$337,$A24)</f>
        <v/>
      </c>
      <c r="C24" s="10">
        <f>COUNTIFS(Casos!$B$2:$B$337,$A24,Casos!$H$2:$H$337,"Pasó")</f>
        <v/>
      </c>
      <c r="D24" s="10">
        <f>COUNTIFS(Casos!$B$2:$B$337,$A24,Casos!$H$2:$H$337,"No pasó")</f>
        <v/>
      </c>
      <c r="E24" s="10">
        <f>B24-COUNTIFS(Casos!$B$2:$B$337,$A24,Casos!$H$2:$H$337,"&lt;&gt;")</f>
        <v/>
      </c>
    </row>
    <row r="25">
      <c r="A25" s="10" t="inlineStr">
        <is>
          <t>Trabajos — Reintentar / Reencolar</t>
        </is>
      </c>
      <c r="B25" s="10">
        <f>COUNTIF(Casos!$B$2:$B$337,$A25)</f>
        <v/>
      </c>
      <c r="C25" s="10">
        <f>COUNTIFS(Casos!$B$2:$B$337,$A25,Casos!$H$2:$H$337,"Pasó")</f>
        <v/>
      </c>
      <c r="D25" s="10">
        <f>COUNTIFS(Casos!$B$2:$B$337,$A25,Casos!$H$2:$H$337,"No pasó")</f>
        <v/>
      </c>
      <c r="E25" s="10">
        <f>B25-COUNTIFS(Casos!$B$2:$B$337,$A25,Casos!$H$2:$H$337,"&lt;&gt;")</f>
        <v/>
      </c>
    </row>
    <row r="26">
      <c r="A26" s="10" t="inlineStr">
        <is>
          <t>Rendimiento / escalabilidad (verificación técnica)</t>
        </is>
      </c>
      <c r="B26" s="10">
        <f>COUNTIF(Casos!$B$2:$B$337,$A26)</f>
        <v/>
      </c>
      <c r="C26" s="10">
        <f>COUNTIFS(Casos!$B$2:$B$337,$A26,Casos!$H$2:$H$337,"Pasó")</f>
        <v/>
      </c>
      <c r="D26" s="10">
        <f>COUNTIFS(Casos!$B$2:$B$337,$A26,Casos!$H$2:$H$337,"No pasó")</f>
        <v/>
      </c>
      <c r="E26" s="10">
        <f>B26-COUNTIFS(Casos!$B$2:$B$337,$A26,Casos!$H$2:$H$337,"&lt;&gt;")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COUNTIF(Casos!$B$2:$B$337,$A27)</f>
        <v/>
      </c>
      <c r="C27" s="10">
        <f>COUNTIFS(Casos!$B$2:$B$337,$A27,Casos!$H$2:$H$337,"Pasó")</f>
        <v/>
      </c>
      <c r="D27" s="10">
        <f>COUNTIFS(Casos!$B$2:$B$337,$A27,Casos!$H$2:$H$337,"No pasó")</f>
        <v/>
      </c>
      <c r="E27" s="10">
        <f>B27-COUNTIFS(Casos!$B$2:$B$337,$A27,Casos!$H$2:$H$337,"&lt;&gt;")</f>
        <v/>
      </c>
    </row>
    <row r="28">
      <c r="A28" s="10" t="inlineStr">
        <is>
          <t>Constructor de correos HTML</t>
        </is>
      </c>
      <c r="B28" s="10">
        <f>COUNTIF(Casos!$B$2:$B$337,$A28)</f>
        <v/>
      </c>
      <c r="C28" s="10">
        <f>COUNTIFS(Casos!$B$2:$B$337,$A28,Casos!$H$2:$H$337,"Pasó")</f>
        <v/>
      </c>
      <c r="D28" s="10">
        <f>COUNTIFS(Casos!$B$2:$B$337,$A28,Casos!$H$2:$H$337,"No pasó")</f>
        <v/>
      </c>
      <c r="E28" s="10">
        <f>B28-COUNTIFS(Casos!$B$2:$B$337,$A28,Casos!$H$2:$H$337,"&lt;&gt;")</f>
        <v/>
      </c>
    </row>
    <row r="29">
      <c r="A29" s="10" t="inlineStr">
        <is>
          <t>Plantillas PDF (básicas · Estudio · Diseñador)</t>
        </is>
      </c>
      <c r="B29" s="10">
        <f>COUNTIF(Casos!$B$2:$B$337,$A29)</f>
        <v/>
      </c>
      <c r="C29" s="10">
        <f>COUNTIFS(Casos!$B$2:$B$337,$A29,Casos!$H$2:$H$337,"Pasó")</f>
        <v/>
      </c>
      <c r="D29" s="10">
        <f>COUNTIFS(Casos!$B$2:$B$337,$A29,Casos!$H$2:$H$337,"No pasó")</f>
        <v/>
      </c>
      <c r="E29" s="10">
        <f>B29-COUNTIFS(Casos!$B$2:$B$337,$A29,Casos!$H$2:$H$337,"&lt;&gt;")</f>
        <v/>
      </c>
    </row>
    <row r="30">
      <c r="A30" s="10" t="inlineStr">
        <is>
          <t>Aprobaciones (maker-checker) y programación de envíos</t>
        </is>
      </c>
      <c r="B30" s="10">
        <f>COUNTIF(Casos!$B$2:$B$337,$A30)</f>
        <v/>
      </c>
      <c r="C30" s="10">
        <f>COUNTIFS(Casos!$B$2:$B$337,$A30,Casos!$H$2:$H$337,"Pasó")</f>
        <v/>
      </c>
      <c r="D30" s="10">
        <f>COUNTIFS(Casos!$B$2:$B$337,$A30,Casos!$H$2:$H$337,"No pasó")</f>
        <v/>
      </c>
      <c r="E30" s="10">
        <f>B30-COUNTIFS(Casos!$B$2:$B$337,$A30,Casos!$H$2:$H$337,"&lt;&gt;")</f>
        <v/>
      </c>
    </row>
    <row r="31">
      <c r="A31" s="10" t="inlineStr">
        <is>
          <t>Equipo del cliente y roles</t>
        </is>
      </c>
      <c r="B31" s="10">
        <f>COUNTIF(Casos!$B$2:$B$337,$A31)</f>
        <v/>
      </c>
      <c r="C31" s="10">
        <f>COUNTIFS(Casos!$B$2:$B$337,$A31,Casos!$H$2:$H$337,"Pasó")</f>
        <v/>
      </c>
      <c r="D31" s="10">
        <f>COUNTIFS(Casos!$B$2:$B$337,$A31,Casos!$H$2:$H$337,"No pasó")</f>
        <v/>
      </c>
      <c r="E31" s="10">
        <f>B31-COUNTIFS(Casos!$B$2:$B$337,$A31,Casos!$H$2:$H$337,"&lt;&gt;")</f>
        <v/>
      </c>
    </row>
    <row r="32">
      <c r="A32" s="10" t="inlineStr">
        <is>
          <t>Dominios y correos remitentes</t>
        </is>
      </c>
      <c r="B32" s="10">
        <f>COUNTIF(Casos!$B$2:$B$337,$A32)</f>
        <v/>
      </c>
      <c r="C32" s="10">
        <f>COUNTIFS(Casos!$B$2:$B$337,$A32,Casos!$H$2:$H$337,"Pasó")</f>
        <v/>
      </c>
      <c r="D32" s="10">
        <f>COUNTIFS(Casos!$B$2:$B$337,$A32,Casos!$H$2:$H$337,"No pasó")</f>
        <v/>
      </c>
      <c r="E32" s="10">
        <f>B32-COUNTIFS(Casos!$B$2:$B$337,$A32,Casos!$H$2:$H$337,"&lt;&gt;")</f>
        <v/>
      </c>
    </row>
    <row r="33">
      <c r="A33" s="10" t="inlineStr">
        <is>
          <t>Seguridad avanzada (2FA · bloqueo · revocación)</t>
        </is>
      </c>
      <c r="B33" s="10">
        <f>COUNTIF(Casos!$B$2:$B$337,$A33)</f>
        <v/>
      </c>
      <c r="C33" s="10">
        <f>COUNTIFS(Casos!$B$2:$B$337,$A33,Casos!$H$2:$H$337,"Pasó")</f>
        <v/>
      </c>
      <c r="D33" s="10">
        <f>COUNTIFS(Casos!$B$2:$B$337,$A33,Casos!$H$2:$H$337,"No pasó")</f>
        <v/>
      </c>
      <c r="E33" s="10">
        <f>B33-COUNTIFS(Casos!$B$2:$B$337,$A33,Casos!$H$2:$H$337,"&lt;&gt;")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COUNTIF(Casos!$B$2:$B$337,$A34)</f>
        <v/>
      </c>
      <c r="C34" s="10">
        <f>COUNTIFS(Casos!$B$2:$B$337,$A34,Casos!$H$2:$H$337,"Pasó")</f>
        <v/>
      </c>
      <c r="D34" s="10">
        <f>COUNTIFS(Casos!$B$2:$B$337,$A34,Casos!$H$2:$H$337,"No pasó")</f>
        <v/>
      </c>
      <c r="E34" s="10">
        <f>B34-COUNTIFS(Casos!$B$2:$B$337,$A34,Casos!$H$2:$H$337,"&lt;&gt;")</f>
        <v/>
      </c>
    </row>
    <row r="35">
      <c r="A35" s="10" t="inlineStr">
        <is>
          <t>Configuración de plataforma y por cliente</t>
        </is>
      </c>
      <c r="B35" s="10">
        <f>COUNTIF(Casos!$B$2:$B$337,$A35)</f>
        <v/>
      </c>
      <c r="C35" s="10">
        <f>COUNTIFS(Casos!$B$2:$B$337,$A35,Casos!$H$2:$H$337,"Pasó")</f>
        <v/>
      </c>
      <c r="D35" s="10">
        <f>COUNTIFS(Casos!$B$2:$B$337,$A35,Casos!$H$2:$H$337,"No pasó")</f>
        <v/>
      </c>
      <c r="E35" s="10">
        <f>B35-COUNTIFS(Casos!$B$2:$B$337,$A35,Casos!$H$2:$H$337,"&lt;&gt;")</f>
        <v/>
      </c>
    </row>
    <row r="36">
      <c r="A36" s="10" t="inlineStr">
        <is>
          <t>Notificaciones y preferencias del suscriptor</t>
        </is>
      </c>
      <c r="B36" s="10">
        <f>COUNTIF(Casos!$B$2:$B$337,$A36)</f>
        <v/>
      </c>
      <c r="C36" s="10">
        <f>COUNTIFS(Casos!$B$2:$B$337,$A36,Casos!$H$2:$H$337,"Pasó")</f>
        <v/>
      </c>
      <c r="D36" s="10">
        <f>COUNTIFS(Casos!$B$2:$B$337,$A36,Casos!$H$2:$H$337,"No pasó")</f>
        <v/>
      </c>
      <c r="E36" s="10">
        <f>B36-COUNTIFS(Casos!$B$2:$B$337,$A36,Casos!$H$2:$H$337,"&lt;&gt;")</f>
        <v/>
      </c>
    </row>
    <row r="37">
      <c r="A37" s="10" t="inlineStr">
        <is>
          <t>Higiene, límites de uso y costo del adjunto</t>
        </is>
      </c>
      <c r="B37" s="10">
        <f>COUNTIF(Casos!$B$2:$B$337,$A37)</f>
        <v/>
      </c>
      <c r="C37" s="10">
        <f>COUNTIFS(Casos!$B$2:$B$337,$A37,Casos!$H$2:$H$337,"Pasó")</f>
        <v/>
      </c>
      <c r="D37" s="10">
        <f>COUNTIFS(Casos!$B$2:$B$337,$A37,Casos!$H$2:$H$337,"No pasó")</f>
        <v/>
      </c>
      <c r="E37" s="10">
        <f>B37-COUNTIFS(Casos!$B$2:$B$337,$A37,Casos!$H$2:$H$337,"&lt;&gt;")</f>
        <v/>
      </c>
    </row>
    <row r="38">
      <c r="A38" s="10" t="inlineStr">
        <is>
          <t>Cascada omnicanal y series</t>
        </is>
      </c>
      <c r="B38" s="10">
        <f>COUNTIF(Casos!$B$2:$B$337,$A38)</f>
        <v/>
      </c>
      <c r="C38" s="10">
        <f>COUNTIFS(Casos!$B$2:$B$337,$A38,Casos!$H$2:$H$337,"Pasó")</f>
        <v/>
      </c>
      <c r="D38" s="10">
        <f>COUNTIFS(Casos!$B$2:$B$337,$A38,Casos!$H$2:$H$337,"No pasó")</f>
        <v/>
      </c>
      <c r="E38" s="10">
        <f>B38-COUNTIFS(Casos!$B$2:$B$337,$A38,Casos!$H$2:$H$337,"&lt;&gt;")</f>
        <v/>
      </c>
    </row>
    <row r="39">
      <c r="A39" s="10" t="inlineStr">
        <is>
          <t>Regresión / transversales</t>
        </is>
      </c>
      <c r="B39" s="10">
        <f>COUNTIF(Casos!$B$2:$B$337,$A39)</f>
        <v/>
      </c>
      <c r="C39" s="10">
        <f>COUNTIFS(Casos!$B$2:$B$337,$A39,Casos!$H$2:$H$337,"Pasó")</f>
        <v/>
      </c>
      <c r="D39" s="10">
        <f>COUNTIFS(Casos!$B$2:$B$337,$A39,Casos!$H$2:$H$337,"No pasó")</f>
        <v/>
      </c>
      <c r="E39" s="10">
        <f>B39-COUNTIFS(Casos!$B$2:$B$337,$A39,Casos!$H$2:$H$337,"&lt;&gt;")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2026-07-28T19:49:28Z</dcterms:created>
  <dcterms:modified xsi:type="dcterms:W3CDTF">2026-07-28T19:49:29Z</dcterms:modified>
</cp:coreProperties>
</file>