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  <sheet name="Resumen" sheetId="2" state="visible" r:id="rId2"/>
    <sheet name="Cómo usarla" sheetId="3" state="visible" r:id="rId3"/>
  </sheets>
  <definedNames>
    <definedName name="_xlnm._FilterDatabase" localSheetId="0" hidden="1">'Casos'!$A$1:$K$423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6233F"/>
      <sz val="14"/>
    </font>
    <font>
      <name val="Arial"/>
      <i val="1"/>
      <color rgb="006B7A90"/>
      <sz val="9"/>
    </font>
    <font>
      <name val="Arial"/>
      <b val="1"/>
      <color rgb="0016233F"/>
      <sz val="11"/>
    </font>
    <font>
      <name val="Arial"/>
      <b val="1"/>
      <color rgb="0016233F"/>
      <sz val="9"/>
    </font>
    <font>
      <name val="Arial"/>
      <color theme="1"/>
      <sz val="10"/>
    </font>
    <font>
      <name val="Arial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6233F"/>
      </patternFill>
    </fill>
    <fill>
      <patternFill patternType="solid">
        <fgColor rgb="00F4F7FB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D6DEE8"/>
      </left>
      <right style="thin">
        <color rgb="00D6DEE8"/>
      </right>
      <top style="thin">
        <color rgb="00D6DEE8"/>
      </top>
      <bottom style="thin">
        <color rgb="00D6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164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1" customWidth="1" min="3" max="3"/>
    <col width="40" customWidth="1" min="4" max="4"/>
    <col width="52" customWidth="1" min="5" max="5"/>
    <col width="62" customWidth="1" min="6" max="6"/>
    <col width="34" customWidth="1" min="7" max="7"/>
    <col width="13" customWidth="1" min="8" max="8"/>
    <col width="30" customWidth="1" min="9" max="9"/>
    <col width="16" customWidth="1" min="10" max="10"/>
    <col width="13" customWidth="1" min="11" max="11"/>
  </cols>
  <sheetData>
    <row r="1" ht="28" customHeight="1">
      <c r="A1" s="1" t="inlineStr">
        <is>
          <t>ID</t>
        </is>
      </c>
      <c r="B1" s="1" t="inlineStr">
        <is>
          <t>Módulo</t>
        </is>
      </c>
      <c r="C1" s="1" t="inlineStr">
        <is>
          <t>Prioridad</t>
        </is>
      </c>
      <c r="D1" s="1" t="inlineStr">
        <is>
          <t>Caso</t>
        </is>
      </c>
      <c r="E1" s="1" t="inlineStr">
        <is>
          <t>Pasos</t>
        </is>
      </c>
      <c r="F1" s="1" t="inlineStr">
        <is>
          <t>Resultado esperado</t>
        </is>
      </c>
      <c r="G1" s="1" t="inlineStr">
        <is>
          <t>Resultado obtenido</t>
        </is>
      </c>
      <c r="H1" s="1" t="inlineStr">
        <is>
          <t>Estado</t>
        </is>
      </c>
      <c r="I1" s="1" t="inlineStr">
        <is>
          <t>Observaciones / defecto</t>
        </is>
      </c>
      <c r="J1" s="1" t="inlineStr">
        <is>
          <t>Probado por</t>
        </is>
      </c>
      <c r="K1" s="1" t="inlineStr">
        <is>
          <t>Fecha</t>
        </is>
      </c>
    </row>
    <row r="2">
      <c r="A2" s="2" t="inlineStr">
        <is>
          <t>CP-SEG-01</t>
        </is>
      </c>
      <c r="B2" s="3" t="inlineStr">
        <is>
          <t>Seguridad / Autenticación</t>
        </is>
      </c>
      <c r="C2" s="2" t="inlineStr">
        <is>
          <t>Alta</t>
        </is>
      </c>
      <c r="D2" s="3" t="inlineStr">
        <is>
          <t>Registro exitoso</t>
        </is>
      </c>
      <c r="E2" s="3" t="inlineStr">
        <is>
          <t>Registrar con datos válidos + aceptar términos</t>
        </is>
      </c>
      <c r="F2" s="3" t="inlineStr"/>
      <c r="G2" s="4" t="inlineStr"/>
      <c r="H2" s="5" t="inlineStr"/>
      <c r="I2" s="4" t="inlineStr"/>
      <c r="J2" s="6" t="inlineStr"/>
      <c r="K2" s="5" t="inlineStr"/>
    </row>
    <row r="3">
      <c r="A3" s="7" t="inlineStr">
        <is>
          <t>CP-SEG-02</t>
        </is>
      </c>
      <c r="B3" s="8" t="inlineStr">
        <is>
          <t>Seguridad / Autenticación</t>
        </is>
      </c>
      <c r="C3" s="7" t="inlineStr">
        <is>
          <t>Media</t>
        </is>
      </c>
      <c r="D3" s="8" t="inlineStr">
        <is>
          <t>Registro email duplicado</t>
        </is>
      </c>
      <c r="E3" s="8" t="inlineStr">
        <is>
          <t>Registrar con un email ya existente</t>
        </is>
      </c>
      <c r="F3" s="8" t="inlineStr"/>
      <c r="G3" s="4" t="inlineStr"/>
      <c r="H3" s="5" t="inlineStr"/>
      <c r="I3" s="4" t="inlineStr"/>
      <c r="J3" s="6" t="inlineStr"/>
      <c r="K3" s="5" t="inlineStr"/>
    </row>
    <row r="4">
      <c r="A4" s="2" t="inlineStr">
        <is>
          <t>CP-SEG-03</t>
        </is>
      </c>
      <c r="B4" s="3" t="inlineStr">
        <is>
          <t>Seguridad / Autenticación</t>
        </is>
      </c>
      <c r="C4" s="2" t="inlineStr">
        <is>
          <t>Media</t>
        </is>
      </c>
      <c r="D4" s="3" t="inlineStr">
        <is>
          <t>Registro teléfono/datos inválidos</t>
        </is>
      </c>
      <c r="E4" s="3" t="inlineStr">
        <is>
          <t>Teléfono no numérico / NIT vacío</t>
        </is>
      </c>
      <c r="F4" s="3" t="inlineStr"/>
      <c r="G4" s="4" t="inlineStr"/>
      <c r="H4" s="5" t="inlineStr"/>
      <c r="I4" s="4" t="inlineStr"/>
      <c r="J4" s="6" t="inlineStr"/>
      <c r="K4" s="5" t="inlineStr"/>
    </row>
    <row r="5">
      <c r="A5" s="7" t="inlineStr">
        <is>
          <t>CP-SEG-04</t>
        </is>
      </c>
      <c r="B5" s="8" t="inlineStr">
        <is>
          <t>Seguridad / Autenticación</t>
        </is>
      </c>
      <c r="C5" s="7" t="inlineStr">
        <is>
          <t>Alta</t>
        </is>
      </c>
      <c r="D5" s="8" t="inlineStr">
        <is>
          <t>Activación de cuenta</t>
        </is>
      </c>
      <c r="E5" s="8" t="inlineStr">
        <is>
          <t>Abrir el enlace de activación del correo</t>
        </is>
      </c>
      <c r="F5" s="8" t="inlineStr"/>
      <c r="G5" s="4" t="inlineStr"/>
      <c r="H5" s="5" t="inlineStr"/>
      <c r="I5" s="4" t="inlineStr"/>
      <c r="J5" s="6" t="inlineStr"/>
      <c r="K5" s="5" t="inlineStr"/>
    </row>
    <row r="6">
      <c r="A6" s="2" t="inlineStr">
        <is>
          <t>CP-SEG-05</t>
        </is>
      </c>
      <c r="B6" s="3" t="inlineStr">
        <is>
          <t>Seguridad / Autenticación</t>
        </is>
      </c>
      <c r="C6" s="2" t="inlineStr">
        <is>
          <t>Baja</t>
        </is>
      </c>
      <c r="D6" s="3" t="inlineStr">
        <is>
          <t>Activación con clave vencida/errada</t>
        </is>
      </c>
      <c r="E6" s="3" t="inlineStr">
        <is>
          <t>Usar un qs inválido</t>
        </is>
      </c>
      <c r="F6" s="3" t="inlineStr"/>
      <c r="G6" s="4" t="inlineStr"/>
      <c r="H6" s="5" t="inlineStr"/>
      <c r="I6" s="4" t="inlineStr"/>
      <c r="J6" s="6" t="inlineStr"/>
      <c r="K6" s="5" t="inlineStr"/>
    </row>
    <row r="7">
      <c r="A7" s="7" t="inlineStr">
        <is>
          <t>CP-SEG-06</t>
        </is>
      </c>
      <c r="B7" s="8" t="inlineStr">
        <is>
          <t>Seguridad / Autenticación</t>
        </is>
      </c>
      <c r="C7" s="7" t="inlineStr">
        <is>
          <t>Alta</t>
        </is>
      </c>
      <c r="D7" s="8" t="inlineStr">
        <is>
          <t>Login exitoso</t>
        </is>
      </c>
      <c r="E7" s="8" t="inlineStr">
        <is>
          <t>Login con credenciales correctas de cuenta activa</t>
        </is>
      </c>
      <c r="F7" s="8" t="inlineStr"/>
      <c r="G7" s="4" t="inlineStr"/>
      <c r="H7" s="5" t="inlineStr"/>
      <c r="I7" s="4" t="inlineStr"/>
      <c r="J7" s="6" t="inlineStr"/>
      <c r="K7" s="5" t="inlineStr"/>
    </row>
    <row r="8">
      <c r="A8" s="2" t="inlineStr">
        <is>
          <t>CP-SEG-07</t>
        </is>
      </c>
      <c r="B8" s="3" t="inlineStr">
        <is>
          <t>Seguridad / Autenticación</t>
        </is>
      </c>
      <c r="C8" s="2" t="inlineStr">
        <is>
          <t>Alta</t>
        </is>
      </c>
      <c r="D8" s="3" t="inlineStr">
        <is>
          <t>Login contraseña incorrecta</t>
        </is>
      </c>
      <c r="E8" s="3" t="inlineStr">
        <is>
          <t>Contraseña errada</t>
        </is>
      </c>
      <c r="F8" s="3" t="inlineStr"/>
      <c r="G8" s="4" t="inlineStr"/>
      <c r="H8" s="5" t="inlineStr"/>
      <c r="I8" s="4" t="inlineStr"/>
      <c r="J8" s="6" t="inlineStr"/>
      <c r="K8" s="5" t="inlineStr"/>
    </row>
    <row r="9">
      <c r="A9" s="7" t="inlineStr">
        <is>
          <t>CP-SEG-08</t>
        </is>
      </c>
      <c r="B9" s="8" t="inlineStr">
        <is>
          <t>Seguridad / Autenticación</t>
        </is>
      </c>
      <c r="C9" s="7" t="inlineStr">
        <is>
          <t>Media</t>
        </is>
      </c>
      <c r="D9" s="8" t="inlineStr">
        <is>
          <t>Login usuario inexistente</t>
        </is>
      </c>
      <c r="E9" s="8" t="inlineStr">
        <is>
          <t>Email que no existe</t>
        </is>
      </c>
      <c r="F9" s="8" t="inlineStr"/>
      <c r="G9" s="4" t="inlineStr"/>
      <c r="H9" s="5" t="inlineStr"/>
      <c r="I9" s="4" t="inlineStr"/>
      <c r="J9" s="6" t="inlineStr"/>
      <c r="K9" s="5" t="inlineStr"/>
    </row>
    <row r="10">
      <c r="A10" s="2" t="inlineStr">
        <is>
          <t>CP-SEG-09</t>
        </is>
      </c>
      <c r="B10" s="3" t="inlineStr">
        <is>
          <t>Seguridad / Autenticación</t>
        </is>
      </c>
      <c r="C10" s="2" t="inlineStr">
        <is>
          <t>Media</t>
        </is>
      </c>
      <c r="D10" s="3" t="inlineStr">
        <is>
          <t>Login cuenta inactiva</t>
        </is>
      </c>
      <c r="E10" s="3" t="inlineStr">
        <is>
          <t>Cuenta sin activar</t>
        </is>
      </c>
      <c r="F10" s="3" t="inlineStr"/>
      <c r="G10" s="4" t="inlineStr"/>
      <c r="H10" s="5" t="inlineStr"/>
      <c r="I10" s="4" t="inlineStr"/>
      <c r="J10" s="6" t="inlineStr"/>
      <c r="K10" s="5" t="inlineStr"/>
    </row>
    <row r="11">
      <c r="A11" s="7" t="inlineStr">
        <is>
          <t>CP-SEG-10</t>
        </is>
      </c>
      <c r="B11" s="8" t="inlineStr">
        <is>
          <t>Seguridad / Autenticación</t>
        </is>
      </c>
      <c r="C11" s="7" t="inlineStr">
        <is>
          <t>Alta</t>
        </is>
      </c>
      <c r="D11" s="8" t="inlineStr">
        <is>
          <t>Auditoría de seguridad — ingreso</t>
        </is>
      </c>
      <c r="E11" s="8" t="inlineStr">
        <is>
          <t>Login exitoso → revisar tab Auditoría</t>
        </is>
      </c>
      <c r="F11" s="8" t="inlineStr"/>
      <c r="G11" s="4" t="inlineStr"/>
      <c r="H11" s="5" t="inlineStr"/>
      <c r="I11" s="4" t="inlineStr"/>
      <c r="J11" s="6" t="inlineStr"/>
      <c r="K11" s="5" t="inlineStr"/>
    </row>
    <row r="12">
      <c r="A12" s="2" t="inlineStr">
        <is>
          <t>CP-SEG-11</t>
        </is>
      </c>
      <c r="B12" s="3" t="inlineStr">
        <is>
          <t>Seguridad / Autenticación</t>
        </is>
      </c>
      <c r="C12" s="2" t="inlineStr">
        <is>
          <t>Media</t>
        </is>
      </c>
      <c r="D12" s="3" t="inlineStr">
        <is>
          <t>Auditoría — contraseña incorrecta</t>
        </is>
      </c>
      <c r="E12" s="3" t="inlineStr">
        <is>
          <t>Login con clave errada → Auditoría</t>
        </is>
      </c>
      <c r="F12" s="3" t="inlineStr"/>
      <c r="G12" s="4" t="inlineStr"/>
      <c r="H12" s="5" t="inlineStr"/>
      <c r="I12" s="4" t="inlineStr"/>
      <c r="J12" s="6" t="inlineStr"/>
      <c r="K12" s="5" t="inlineStr"/>
    </row>
    <row r="13">
      <c r="A13" s="7" t="inlineStr">
        <is>
          <t>CP-SEG-12</t>
        </is>
      </c>
      <c r="B13" s="8" t="inlineStr">
        <is>
          <t>Seguridad / Autenticación</t>
        </is>
      </c>
      <c r="C13" s="7" t="inlineStr">
        <is>
          <t>Media</t>
        </is>
      </c>
      <c r="D13" s="8" t="inlineStr">
        <is>
          <t>Auditoría — usuario inexistente</t>
        </is>
      </c>
      <c r="E13" s="8" t="inlineStr">
        <is>
          <t>Login con email inexistente → Auditoría</t>
        </is>
      </c>
      <c r="F13" s="8" t="inlineStr"/>
      <c r="G13" s="4" t="inlineStr"/>
      <c r="H13" s="5" t="inlineStr"/>
      <c r="I13" s="4" t="inlineStr"/>
      <c r="J13" s="6" t="inlineStr"/>
      <c r="K13" s="5" t="inlineStr"/>
    </row>
    <row r="14">
      <c r="A14" s="2" t="inlineStr">
        <is>
          <t>CP-SEG-13</t>
        </is>
      </c>
      <c r="B14" s="3" t="inlineStr">
        <is>
          <t>Seguridad / Autenticación</t>
        </is>
      </c>
      <c r="C14" s="2" t="inlineStr">
        <is>
          <t>Media</t>
        </is>
      </c>
      <c r="D14" s="3" t="inlineStr">
        <is>
          <t>IP del usuario</t>
        </is>
      </c>
      <c r="E14" s="3" t="inlineStr">
        <is>
          <t>Tras configurar el mapping template del login, hacer login</t>
        </is>
      </c>
      <c r="F14" s="3" t="inlineStr"/>
      <c r="G14" s="4" t="inlineStr"/>
      <c r="H14" s="5" t="inlineStr"/>
      <c r="I14" s="4" t="inlineStr"/>
      <c r="J14" s="6" t="inlineStr"/>
      <c r="K14" s="5" t="inlineStr"/>
    </row>
    <row r="15">
      <c r="A15" s="7" t="inlineStr">
        <is>
          <t>CP-SEG-14</t>
        </is>
      </c>
      <c r="B15" s="8" t="inlineStr">
        <is>
          <t>Seguridad / Autenticación</t>
        </is>
      </c>
      <c r="C15" s="7" t="inlineStr">
        <is>
          <t>Media</t>
        </is>
      </c>
      <c r="D15" s="8" t="inlineStr">
        <is>
          <t>Recuperación de contraseña</t>
        </is>
      </c>
      <c r="E15" s="8" t="inlineStr">
        <is>
          <t>forgot-password con email existente y con uno inexistente</t>
        </is>
      </c>
      <c r="F15" s="8" t="inlineStr"/>
      <c r="G15" s="4" t="inlineStr"/>
      <c r="H15" s="5" t="inlineStr"/>
      <c r="I15" s="4" t="inlineStr"/>
      <c r="J15" s="6" t="inlineStr"/>
      <c r="K15" s="5" t="inlineStr"/>
    </row>
    <row r="16">
      <c r="A16" s="2" t="inlineStr">
        <is>
          <t>CP-SEG-15</t>
        </is>
      </c>
      <c r="B16" s="3" t="inlineStr">
        <is>
          <t>Seguridad / Autenticación</t>
        </is>
      </c>
      <c r="C16" s="2" t="inlineStr">
        <is>
          <t>Alta</t>
        </is>
      </c>
      <c r="D16" s="3" t="inlineStr">
        <is>
          <t>Reseteo con OTP</t>
        </is>
      </c>
      <c r="E16" s="3" t="inlineStr">
        <is>
          <t>Pantalla reset: OTP correcto + nueva clave fuerte</t>
        </is>
      </c>
      <c r="F16" s="3" t="inlineStr"/>
      <c r="G16" s="4" t="inlineStr"/>
      <c r="H16" s="5" t="inlineStr"/>
      <c r="I16" s="4" t="inlineStr"/>
      <c r="J16" s="6" t="inlineStr"/>
      <c r="K16" s="5" t="inlineStr"/>
    </row>
    <row r="17">
      <c r="A17" s="7" t="inlineStr">
        <is>
          <t>CP-SEG-16</t>
        </is>
      </c>
      <c r="B17" s="8" t="inlineStr">
        <is>
          <t>Seguridad / Autenticación</t>
        </is>
      </c>
      <c r="C17" s="7" t="inlineStr">
        <is>
          <t>Media</t>
        </is>
      </c>
      <c r="D17" s="8" t="inlineStr">
        <is>
          <t>Reseteo clave débil no consume OTP</t>
        </is>
      </c>
      <c r="E17" s="8" t="inlineStr">
        <is>
          <t>OTP válido + clave débil</t>
        </is>
      </c>
      <c r="F17" s="8" t="inlineStr"/>
      <c r="G17" s="4" t="inlineStr"/>
      <c r="H17" s="5" t="inlineStr"/>
      <c r="I17" s="4" t="inlineStr"/>
      <c r="J17" s="6" t="inlineStr"/>
      <c r="K17" s="5" t="inlineStr"/>
    </row>
    <row r="18">
      <c r="A18" s="2" t="inlineStr">
        <is>
          <t>CP-SEG-17</t>
        </is>
      </c>
      <c r="B18" s="3" t="inlineStr">
        <is>
          <t>Seguridad / Autenticación</t>
        </is>
      </c>
      <c r="C18" s="2" t="inlineStr">
        <is>
          <t>Media</t>
        </is>
      </c>
      <c r="D18" s="3" t="inlineStr">
        <is>
          <t>OTP expirado / inválido</t>
        </is>
      </c>
      <c r="E18" s="3" t="inlineStr">
        <is>
          <t>Validar OTP vencido o errado</t>
        </is>
      </c>
      <c r="F18" s="3" t="inlineStr"/>
      <c r="G18" s="4" t="inlineStr"/>
      <c r="H18" s="5" t="inlineStr"/>
      <c r="I18" s="4" t="inlineStr"/>
      <c r="J18" s="6" t="inlineStr"/>
      <c r="K18" s="5" t="inlineStr"/>
    </row>
    <row r="19">
      <c r="A19" s="7" t="inlineStr">
        <is>
          <t>CP-SEG-18</t>
        </is>
      </c>
      <c r="B19" s="8" t="inlineStr">
        <is>
          <t>Seguridad / Autenticación</t>
        </is>
      </c>
      <c r="C19" s="7" t="inlineStr">
        <is>
          <t>Media</t>
        </is>
      </c>
      <c r="D19" s="8" t="inlineStr">
        <is>
          <t>Cambio de contraseña logueado</t>
        </is>
      </c>
      <c r="E19" s="8" t="inlineStr">
        <is>
          <t>Mi cuenta → cambiar con token válido</t>
        </is>
      </c>
      <c r="F19" s="8" t="inlineStr"/>
      <c r="G19" s="4" t="inlineStr"/>
      <c r="H19" s="5" t="inlineStr"/>
      <c r="I19" s="4" t="inlineStr"/>
      <c r="J19" s="6" t="inlineStr"/>
      <c r="K19" s="5" t="inlineStr"/>
    </row>
    <row r="20">
      <c r="A20" s="2" t="inlineStr">
        <is>
          <t>CP-SEG-19</t>
        </is>
      </c>
      <c r="B20" s="3" t="inlineStr">
        <is>
          <t>Seguridad / Autenticación</t>
        </is>
      </c>
      <c r="C20" s="2" t="inlineStr">
        <is>
          <t>Media</t>
        </is>
      </c>
      <c r="D20" s="3" t="inlineStr">
        <is>
          <t>Refresh token deslizante</t>
        </is>
      </c>
      <c r="E20" s="3" t="inlineStr">
        <is>
          <t>Sesión activa con token &lt; 1h de vida</t>
        </is>
      </c>
      <c r="F20" s="3" t="inlineStr"/>
      <c r="G20" s="4" t="inlineStr"/>
      <c r="H20" s="5" t="inlineStr"/>
      <c r="I20" s="4" t="inlineStr"/>
      <c r="J20" s="6" t="inlineStr"/>
      <c r="K20" s="5" t="inlineStr"/>
    </row>
    <row r="21">
      <c r="A21" s="7" t="inlineStr">
        <is>
          <t>CP-SEG-20</t>
        </is>
      </c>
      <c r="B21" s="8" t="inlineStr">
        <is>
          <t>Seguridad / Autenticación</t>
        </is>
      </c>
      <c r="C21" s="7" t="inlineStr">
        <is>
          <t>Media</t>
        </is>
      </c>
      <c r="D21" s="8" t="inlineStr">
        <is>
          <t>Sesión expirada</t>
        </is>
      </c>
      <c r="E21" s="8" t="inlineStr">
        <is>
          <t>Token vencido y pegar a la API</t>
        </is>
      </c>
      <c r="F21" s="8" t="inlineStr"/>
      <c r="G21" s="4" t="inlineStr"/>
      <c r="H21" s="5" t="inlineStr"/>
      <c r="I21" s="4" t="inlineStr"/>
      <c r="J21" s="6" t="inlineStr"/>
      <c r="K21" s="5" t="inlineStr"/>
    </row>
    <row r="22">
      <c r="A22" s="2" t="inlineStr">
        <is>
          <t>CP-SEG-21</t>
        </is>
      </c>
      <c r="B22" s="3" t="inlineStr">
        <is>
          <t>Seguridad / Autenticación</t>
        </is>
      </c>
      <c r="C22" s="2" t="inlineStr">
        <is>
          <t>Media</t>
        </is>
      </c>
      <c r="D22" s="3" t="inlineStr">
        <is>
          <t>Inactividad</t>
        </is>
      </c>
      <c r="E22" s="3" t="inlineStr">
        <is>
          <t>Dejar el portal inactivo &gt; VITE_IDLE_MINUTES</t>
        </is>
      </c>
      <c r="F22" s="3" t="inlineStr"/>
      <c r="G22" s="4" t="inlineStr"/>
      <c r="H22" s="5" t="inlineStr"/>
      <c r="I22" s="4" t="inlineStr"/>
      <c r="J22" s="6" t="inlineStr"/>
      <c r="K22" s="5" t="inlineStr"/>
    </row>
    <row r="23">
      <c r="A23" s="7" t="inlineStr">
        <is>
          <t>CP-SEG-22</t>
        </is>
      </c>
      <c r="B23" s="8" t="inlineStr">
        <is>
          <t>Seguridad / Autenticación</t>
        </is>
      </c>
      <c r="C23" s="7" t="inlineStr">
        <is>
          <t>Alta</t>
        </is>
      </c>
      <c r="D23" s="8" t="inlineStr">
        <is>
          <t>Authorizer deniega token inválido</t>
        </is>
      </c>
      <c r="E23" s="8" t="inlineStr">
        <is>
          <t>Llamar una ruta protegida con token adulterado/otra clave</t>
        </is>
      </c>
      <c r="F23" s="8" t="inlineStr"/>
      <c r="G23" s="4" t="inlineStr"/>
      <c r="H23" s="5" t="inlineStr"/>
      <c r="I23" s="4" t="inlineStr"/>
      <c r="J23" s="6" t="inlineStr"/>
      <c r="K23" s="5" t="inlineStr"/>
    </row>
    <row r="24">
      <c r="A24" s="2" t="inlineStr">
        <is>
          <t>CP-SEG-23</t>
        </is>
      </c>
      <c r="B24" s="3" t="inlineStr">
        <is>
          <t>Seguridad / Autenticación</t>
        </is>
      </c>
      <c r="C24" s="2" t="inlineStr">
        <is>
          <t>Baja</t>
        </is>
      </c>
      <c r="D24" s="3" t="inlineStr">
        <is>
          <t>verify-code eliminado</t>
        </is>
      </c>
      <c r="E24" s="3" t="inlineStr">
        <is>
          <t>Buscar la ruta/lambda Verify-code</t>
        </is>
      </c>
      <c r="F24" s="3" t="inlineStr"/>
      <c r="G24" s="4" t="inlineStr"/>
      <c r="H24" s="5" t="inlineStr"/>
      <c r="I24" s="4" t="inlineStr"/>
      <c r="J24" s="6" t="inlineStr"/>
      <c r="K24" s="5" t="inlineStr"/>
    </row>
    <row r="25">
      <c r="A25" s="7" t="inlineStr">
        <is>
          <t>CP-AUD-01</t>
        </is>
      </c>
      <c r="B25" s="8" t="inlineStr">
        <is>
          <t>Auditoría (admin)</t>
        </is>
      </c>
      <c r="C25" s="7" t="inlineStr">
        <is>
          <t>Alta</t>
        </is>
      </c>
      <c r="D25" s="8" t="inlineStr">
        <is>
          <t>Solo admin</t>
        </is>
      </c>
      <c r="E25" s="8" t="inlineStr">
        <is>
          <t>Abrir /Admin/Audit como cliente</t>
        </is>
      </c>
      <c r="F25" s="8" t="inlineStr"/>
      <c r="G25" s="4" t="inlineStr"/>
      <c r="H25" s="5" t="inlineStr"/>
      <c r="I25" s="4" t="inlineStr"/>
      <c r="J25" s="6" t="inlineStr"/>
      <c r="K25" s="5" t="inlineStr"/>
    </row>
    <row r="26">
      <c r="A26" s="2" t="inlineStr">
        <is>
          <t>CP-AUD-02</t>
        </is>
      </c>
      <c r="B26" s="3" t="inlineStr">
        <is>
          <t>Auditoría (admin)</t>
        </is>
      </c>
      <c r="C26" s="2" t="inlineStr">
        <is>
          <t>Media</t>
        </is>
      </c>
      <c r="D26" s="3" t="inlineStr">
        <is>
          <t>Tabla sin datos</t>
        </is>
      </c>
      <c r="E26" s="3" t="inlineStr">
        <is>
          <t>Cuenta sin acciones registradas</t>
        </is>
      </c>
      <c r="F26" s="3" t="inlineStr"/>
      <c r="G26" s="4" t="inlineStr"/>
      <c r="H26" s="5" t="inlineStr"/>
      <c r="I26" s="4" t="inlineStr"/>
      <c r="J26" s="6" t="inlineStr"/>
      <c r="K26" s="5" t="inlineStr"/>
    </row>
    <row r="27">
      <c r="A27" s="7" t="inlineStr">
        <is>
          <t>CP-AUD-03</t>
        </is>
      </c>
      <c r="B27" s="8" t="inlineStr">
        <is>
          <t>Auditoría (admin)</t>
        </is>
      </c>
      <c r="C27" s="7" t="inlineStr">
        <is>
          <t>Alta</t>
        </is>
      </c>
      <c r="D27" s="8" t="inlineStr">
        <is>
          <t>Tarifas: solo el campo cambiado</t>
        </is>
      </c>
      <c r="E27" s="8" t="inlineStr">
        <is>
          <t>Cambiar solo baseEM (el form reenvía todos) → Auditoría</t>
        </is>
      </c>
      <c r="F27" s="8" t="inlineStr"/>
      <c r="G27" s="4" t="inlineStr"/>
      <c r="H27" s="5" t="inlineStr"/>
      <c r="I27" s="4" t="inlineStr"/>
      <c r="J27" s="6" t="inlineStr"/>
      <c r="K27" s="5" t="inlineStr"/>
    </row>
    <row r="28">
      <c r="A28" s="2" t="inlineStr">
        <is>
          <t>CP-AUD-04</t>
        </is>
      </c>
      <c r="B28" s="3" t="inlineStr">
        <is>
          <t>Auditoría (admin)</t>
        </is>
      </c>
      <c r="C28" s="2" t="inlineStr">
        <is>
          <t>Alta</t>
        </is>
      </c>
      <c r="D28" s="3" t="inlineStr">
        <is>
          <t>Tarifas: nombre de empresa</t>
        </is>
      </c>
      <c r="E28" s="3" t="inlineStr">
        <is>
          <t>Editar override de un cliente → Auditoría</t>
        </is>
      </c>
      <c r="F28" s="3" t="inlineStr"/>
      <c r="G28" s="4" t="inlineStr"/>
      <c r="H28" s="5" t="inlineStr"/>
      <c r="I28" s="4" t="inlineStr"/>
      <c r="J28" s="6" t="inlineStr"/>
      <c r="K28" s="5" t="inlineStr"/>
    </row>
    <row r="29">
      <c r="A29" s="7" t="inlineStr">
        <is>
          <t>CP-AUD-05</t>
        </is>
      </c>
      <c r="B29" s="8" t="inlineStr">
        <is>
          <t>Auditoría (admin)</t>
        </is>
      </c>
      <c r="C29" s="7" t="inlineStr">
        <is>
          <t>Alta</t>
        </is>
      </c>
      <c r="D29" s="8" t="inlineStr">
        <is>
          <t>Rol: objetivo legible</t>
        </is>
      </c>
      <c r="E29" s="8" t="inlineStr">
        <is>
          <t>Promover/degradar un usuario → Auditoría</t>
        </is>
      </c>
      <c r="F29" s="8" t="inlineStr"/>
      <c r="G29" s="4" t="inlineStr"/>
      <c r="H29" s="5" t="inlineStr"/>
      <c r="I29" s="4" t="inlineStr"/>
      <c r="J29" s="6" t="inlineStr"/>
      <c r="K29" s="5" t="inlineStr"/>
    </row>
    <row r="30">
      <c r="A30" s="2" t="inlineStr">
        <is>
          <t>CP-AUD-06</t>
        </is>
      </c>
      <c r="B30" s="3" t="inlineStr">
        <is>
          <t>Auditoría (admin)</t>
        </is>
      </c>
      <c r="C30" s="2" t="inlineStr">
        <is>
          <t>Media</t>
        </is>
      </c>
      <c r="D30" s="3" t="inlineStr">
        <is>
          <t>Envíos por cliente</t>
        </is>
      </c>
      <c r="E30" s="3" t="inlineStr">
        <is>
          <t>Toggle realSendEnabled desde la ficha → Auditoría</t>
        </is>
      </c>
      <c r="F30" s="3" t="inlineStr"/>
      <c r="G30" s="4" t="inlineStr"/>
      <c r="H30" s="5" t="inlineStr"/>
      <c r="I30" s="4" t="inlineStr"/>
      <c r="J30" s="6" t="inlineStr"/>
      <c r="K30" s="5" t="inlineStr"/>
    </row>
    <row r="31">
      <c r="A31" s="7" t="inlineStr">
        <is>
          <t>CP-AUD-07</t>
        </is>
      </c>
      <c r="B31" s="8" t="inlineStr">
        <is>
          <t>Auditoría (admin)</t>
        </is>
      </c>
      <c r="C31" s="7" t="inlineStr">
        <is>
          <t>Media</t>
        </is>
      </c>
      <c r="D31" s="8" t="inlineStr">
        <is>
          <t>Config</t>
        </is>
      </c>
      <c r="E31" s="8" t="inlineStr">
        <is>
          <t>Cambiar OTP_EXPIRATION_MIN → Auditoría</t>
        </is>
      </c>
      <c r="F31" s="8" t="inlineStr"/>
      <c r="G31" s="4" t="inlineStr"/>
      <c r="H31" s="5" t="inlineStr"/>
      <c r="I31" s="4" t="inlineStr"/>
      <c r="J31" s="6" t="inlineStr"/>
      <c r="K31" s="5" t="inlineStr"/>
    </row>
    <row r="32">
      <c r="A32" s="2" t="inlineStr">
        <is>
          <t>CP-AUD-08</t>
        </is>
      </c>
      <c r="B32" s="3" t="inlineStr">
        <is>
          <t>Auditoría (admin)</t>
        </is>
      </c>
      <c r="C32" s="2" t="inlineStr">
        <is>
          <t>Media</t>
        </is>
      </c>
      <c r="D32" s="3" t="inlineStr">
        <is>
          <t>Creación de campaña/plantilla</t>
        </is>
      </c>
      <c r="E32" s="3" t="inlineStr">
        <is>
          <t>Crear campaña / plantilla HTML / SMS → Auditoría</t>
        </is>
      </c>
      <c r="F32" s="3" t="inlineStr"/>
      <c r="G32" s="4" t="inlineStr"/>
      <c r="H32" s="5" t="inlineStr"/>
      <c r="I32" s="4" t="inlineStr"/>
      <c r="J32" s="6" t="inlineStr"/>
      <c r="K32" s="5" t="inlineStr"/>
    </row>
    <row r="33">
      <c r="A33" s="7" t="inlineStr">
        <is>
          <t>CP-AUD-09</t>
        </is>
      </c>
      <c r="B33" s="8" t="inlineStr">
        <is>
          <t>Auditoría (admin)</t>
        </is>
      </c>
      <c r="C33" s="7" t="inlineStr">
        <is>
          <t>Media</t>
        </is>
      </c>
      <c r="D33" s="8" t="inlineStr">
        <is>
          <t>Envío de muestras / real</t>
        </is>
      </c>
      <c r="E33" s="8" t="inlineStr">
        <is>
          <t>Enviar muestras y envío real → Auditoría</t>
        </is>
      </c>
      <c r="F33" s="8" t="inlineStr"/>
      <c r="G33" s="4" t="inlineStr"/>
      <c r="H33" s="5" t="inlineStr"/>
      <c r="I33" s="4" t="inlineStr"/>
      <c r="J33" s="6" t="inlineStr"/>
      <c r="K33" s="5" t="inlineStr"/>
    </row>
    <row r="34">
      <c r="A34" s="2" t="inlineStr">
        <is>
          <t>CP-AUD-10</t>
        </is>
      </c>
      <c r="B34" s="3" t="inlineStr">
        <is>
          <t>Auditoría (admin)</t>
        </is>
      </c>
      <c r="C34" s="2" t="inlineStr">
        <is>
          <t>Baja</t>
        </is>
      </c>
      <c r="D34" s="3" t="inlineStr">
        <is>
          <t>Filtros</t>
        </is>
      </c>
      <c r="E34" s="3" t="inlineStr">
        <is>
          <t>Filtrar por mes / acción / actor</t>
        </is>
      </c>
      <c r="F34" s="3" t="inlineStr"/>
      <c r="G34" s="4" t="inlineStr"/>
      <c r="H34" s="5" t="inlineStr"/>
      <c r="I34" s="4" t="inlineStr"/>
      <c r="J34" s="6" t="inlineStr"/>
      <c r="K34" s="5" t="inlineStr"/>
    </row>
    <row r="35">
      <c r="A35" s="7" t="inlineStr">
        <is>
          <t>CP-AUD-11</t>
        </is>
      </c>
      <c r="B35" s="8" t="inlineStr">
        <is>
          <t>Auditoría (admin)</t>
        </is>
      </c>
      <c r="C35" s="7" t="inlineStr">
        <is>
          <t>Baja</t>
        </is>
      </c>
      <c r="D35" s="8" t="inlineStr">
        <is>
          <t>Fecha local</t>
        </is>
      </c>
      <c r="E35" s="8" t="inlineStr">
        <is>
          <t>Revisar la columna Fecha</t>
        </is>
      </c>
      <c r="F35" s="8" t="inlineStr"/>
      <c r="G35" s="4" t="inlineStr"/>
      <c r="H35" s="5" t="inlineStr"/>
      <c r="I35" s="4" t="inlineStr"/>
      <c r="J35" s="6" t="inlineStr"/>
      <c r="K35" s="5" t="inlineStr"/>
    </row>
    <row r="36">
      <c r="A36" s="2" t="inlineStr">
        <is>
          <t>CP-ADM-01</t>
        </is>
      </c>
      <c r="B36" s="3" t="inlineStr">
        <is>
          <t>Panel admin</t>
        </is>
      </c>
      <c r="C36" s="2" t="inlineStr">
        <is>
          <t>Alta</t>
        </is>
      </c>
      <c r="D36" s="3" t="inlineStr">
        <is>
          <t>Cliente no entra a /admin</t>
        </is>
      </c>
      <c r="E36" s="3" t="inlineStr">
        <is>
          <t>Loguear como cliente e ir a /admin</t>
        </is>
      </c>
      <c r="F36" s="3" t="inlineStr"/>
      <c r="G36" s="4" t="inlineStr"/>
      <c r="H36" s="5" t="inlineStr"/>
      <c r="I36" s="4" t="inlineStr"/>
      <c r="J36" s="6" t="inlineStr"/>
      <c r="K36" s="5" t="inlineStr"/>
    </row>
    <row r="37">
      <c r="A37" s="7" t="inlineStr">
        <is>
          <t>CP-ADM-02</t>
        </is>
      </c>
      <c r="B37" s="8" t="inlineStr">
        <is>
          <t>Panel admin</t>
        </is>
      </c>
      <c r="C37" s="7" t="inlineStr">
        <is>
          <t>Alta</t>
        </is>
      </c>
      <c r="D37" s="8" t="inlineStr">
        <is>
          <t>Precarga de clientes</t>
        </is>
      </c>
      <c r="E37" s="8" t="inlineStr">
        <is>
          <t>Login admin → abrir Clientes/Facturación/Tarifas</t>
        </is>
      </c>
      <c r="F37" s="8" t="inlineStr"/>
      <c r="G37" s="4" t="inlineStr"/>
      <c r="H37" s="5" t="inlineStr"/>
      <c r="I37" s="4" t="inlineStr"/>
      <c r="J37" s="6" t="inlineStr"/>
      <c r="K37" s="5" t="inlineStr"/>
    </row>
    <row r="38">
      <c r="A38" s="2" t="inlineStr">
        <is>
          <t>CP-ADM-03</t>
        </is>
      </c>
      <c r="B38" s="3" t="inlineStr">
        <is>
          <t>Panel admin</t>
        </is>
      </c>
      <c r="C38" s="2" t="inlineStr">
        <is>
          <t>Alta</t>
        </is>
      </c>
      <c r="D38" s="3" t="inlineStr">
        <is>
          <t>Facturación no da timeout</t>
        </is>
      </c>
      <c r="E38" s="3" t="inlineStr">
        <is>
          <t>Abrir tab Facturación con varios clientes</t>
        </is>
      </c>
      <c r="F38" s="3" t="inlineStr"/>
      <c r="G38" s="4" t="inlineStr"/>
      <c r="H38" s="5" t="inlineStr"/>
      <c r="I38" s="4" t="inlineStr"/>
      <c r="J38" s="6" t="inlineStr"/>
      <c r="K38" s="5" t="inlineStr"/>
    </row>
    <row r="39">
      <c r="A39" s="7" t="inlineStr">
        <is>
          <t>CP-ADM-04</t>
        </is>
      </c>
      <c r="B39" s="8" t="inlineStr">
        <is>
          <t>Panel admin</t>
        </is>
      </c>
      <c r="C39" s="7" t="inlineStr">
        <is>
          <t>Alta</t>
        </is>
      </c>
      <c r="D39" s="8" t="inlineStr">
        <is>
          <t>Trabajos no da timeout</t>
        </is>
      </c>
      <c r="E39" s="8" t="inlineStr">
        <is>
          <t>Abrir tab Trabajos</t>
        </is>
      </c>
      <c r="F39" s="8" t="inlineStr"/>
      <c r="G39" s="4" t="inlineStr"/>
      <c r="H39" s="5" t="inlineStr"/>
      <c r="I39" s="4" t="inlineStr"/>
      <c r="J39" s="6" t="inlineStr"/>
      <c r="K39" s="5" t="inlineStr"/>
    </row>
    <row r="40">
      <c r="A40" s="2" t="inlineStr">
        <is>
          <t>CP-ADM-05</t>
        </is>
      </c>
      <c r="B40" s="3" t="inlineStr">
        <is>
          <t>Panel admin</t>
        </is>
      </c>
      <c r="C40" s="2" t="inlineStr">
        <is>
          <t>Alta</t>
        </is>
      </c>
      <c r="D40" s="3" t="inlineStr">
        <is>
          <t>ErrorBoundary</t>
        </is>
      </c>
      <c r="E40" s="3" t="inlineStr">
        <is>
          <t>Forzar respuesta malformada/parcial de un tab</t>
        </is>
      </c>
      <c r="F40" s="3" t="inlineStr"/>
      <c r="G40" s="4" t="inlineStr"/>
      <c r="H40" s="5" t="inlineStr"/>
      <c r="I40" s="4" t="inlineStr"/>
      <c r="J40" s="6" t="inlineStr"/>
      <c r="K40" s="5" t="inlineStr"/>
    </row>
    <row r="41">
      <c r="A41" s="7" t="inlineStr">
        <is>
          <t>CP-ADM-06</t>
        </is>
      </c>
      <c r="B41" s="8" t="inlineStr">
        <is>
          <t>Panel admin</t>
        </is>
      </c>
      <c r="C41" s="7" t="inlineStr">
        <is>
          <t>Media</t>
        </is>
      </c>
      <c r="D41" s="8" t="inlineStr">
        <is>
          <t>Tab "Envíos por cliente" eliminado</t>
        </is>
      </c>
      <c r="E41" s="8" t="inlineStr">
        <is>
          <t>Revisar el sidebar</t>
        </is>
      </c>
      <c r="F41" s="8" t="inlineStr"/>
      <c r="G41" s="4" t="inlineStr"/>
      <c r="H41" s="5" t="inlineStr"/>
      <c r="I41" s="4" t="inlineStr"/>
      <c r="J41" s="6" t="inlineStr"/>
      <c r="K41" s="5" t="inlineStr"/>
    </row>
    <row r="42">
      <c r="A42" s="2" t="inlineStr">
        <is>
          <t>CP-ADM-07</t>
        </is>
      </c>
      <c r="B42" s="3" t="inlineStr">
        <is>
          <t>Panel admin</t>
        </is>
      </c>
      <c r="C42" s="2" t="inlineStr">
        <is>
          <t>Alta</t>
        </is>
      </c>
      <c r="D42" s="3" t="inlineStr">
        <is>
          <t>Ficha de cliente</t>
        </is>
      </c>
      <c r="E42" s="3" t="inlineStr">
        <is>
          <t>Abrir ficha: datos + usuarios + toggle envíos + promover admin</t>
        </is>
      </c>
      <c r="F42" s="3" t="inlineStr"/>
      <c r="G42" s="4" t="inlineStr"/>
      <c r="H42" s="5" t="inlineStr"/>
      <c r="I42" s="4" t="inlineStr"/>
      <c r="J42" s="6" t="inlineStr"/>
      <c r="K42" s="5" t="inlineStr"/>
    </row>
    <row r="43">
      <c r="A43" s="7" t="inlineStr">
        <is>
          <t>CP-ADM-08</t>
        </is>
      </c>
      <c r="B43" s="8" t="inlineStr">
        <is>
          <t>Panel admin</t>
        </is>
      </c>
      <c r="C43" s="7" t="inlineStr">
        <is>
          <t>Alta</t>
        </is>
      </c>
      <c r="D43" s="8" t="inlineStr">
        <is>
          <t>Campañas admin: columna cliente</t>
        </is>
      </c>
      <c r="E43" s="8" t="inlineStr">
        <is>
          <t>Abrir tab Campañas (admin)</t>
        </is>
      </c>
      <c r="F43" s="8" t="inlineStr"/>
      <c r="G43" s="4" t="inlineStr"/>
      <c r="H43" s="5" t="inlineStr"/>
      <c r="I43" s="4" t="inlineStr"/>
      <c r="J43" s="6" t="inlineStr"/>
      <c r="K43" s="5" t="inlineStr"/>
    </row>
    <row r="44">
      <c r="A44" s="2" t="inlineStr">
        <is>
          <t>CP-ADM-09</t>
        </is>
      </c>
      <c r="B44" s="3" t="inlineStr">
        <is>
          <t>Panel admin</t>
        </is>
      </c>
      <c r="C44" s="2" t="inlineStr">
        <is>
          <t>Alta</t>
        </is>
      </c>
      <c r="D44" s="3" t="inlineStr">
        <is>
          <t>Campañas admin: filtros locales</t>
        </is>
      </c>
      <c r="E44" s="3" t="inlineStr">
        <is>
          <t>Aplicar filtros mes/estado/cliente/canal/búsqueda</t>
        </is>
      </c>
      <c r="F44" s="3" t="inlineStr"/>
      <c r="G44" s="4" t="inlineStr"/>
      <c r="H44" s="5" t="inlineStr"/>
      <c r="I44" s="4" t="inlineStr"/>
      <c r="J44" s="6" t="inlineStr"/>
      <c r="K44" s="5" t="inlineStr"/>
    </row>
    <row r="45">
      <c r="A45" s="7" t="inlineStr">
        <is>
          <t>CP-ADM-10</t>
        </is>
      </c>
      <c r="B45" s="8" t="inlineStr">
        <is>
          <t>Panel admin</t>
        </is>
      </c>
      <c r="C45" s="7" t="inlineStr">
        <is>
          <t>Media</t>
        </is>
      </c>
      <c r="D45" s="8" t="inlineStr">
        <is>
          <t>Dashboard</t>
        </is>
      </c>
      <c r="E45" s="8" t="inlineStr">
        <is>
          <t>Abrir Panel de control</t>
        </is>
      </c>
      <c r="F45" s="8" t="inlineStr"/>
      <c r="G45" s="4" t="inlineStr"/>
      <c r="H45" s="5" t="inlineStr"/>
      <c r="I45" s="4" t="inlineStr"/>
      <c r="J45" s="6" t="inlineStr"/>
      <c r="K45" s="5" t="inlineStr"/>
    </row>
    <row r="46">
      <c r="A46" s="2" t="inlineStr">
        <is>
          <t>CP-ADM-11</t>
        </is>
      </c>
      <c r="B46" s="3" t="inlineStr">
        <is>
          <t>Panel admin</t>
        </is>
      </c>
      <c r="C46" s="2" t="inlineStr">
        <is>
          <t>Media</t>
        </is>
      </c>
      <c r="D46" s="3" t="inlineStr">
        <is>
          <t>Tarifas global vs cliente</t>
        </is>
      </c>
      <c r="E46" s="3" t="inlineStr">
        <is>
          <t>Editar global (*) y override de un cliente</t>
        </is>
      </c>
      <c r="F46" s="3" t="inlineStr"/>
      <c r="G46" s="4" t="inlineStr"/>
      <c r="H46" s="5" t="inlineStr"/>
      <c r="I46" s="4" t="inlineStr"/>
      <c r="J46" s="6" t="inlineStr"/>
      <c r="K46" s="5" t="inlineStr"/>
    </row>
    <row r="47">
      <c r="A47" s="7" t="inlineStr">
        <is>
          <t>CP-ADM-12</t>
        </is>
      </c>
      <c r="B47" s="8" t="inlineStr">
        <is>
          <t>Panel admin</t>
        </is>
      </c>
      <c r="C47" s="7" t="inlineStr">
        <is>
          <t>Media</t>
        </is>
      </c>
      <c r="D47" s="8" t="inlineStr">
        <is>
          <t>Configuración</t>
        </is>
      </c>
      <c r="E47" s="8" t="inlineStr">
        <is>
          <t>Cambiar SENDER_EMAIL y validar</t>
        </is>
      </c>
      <c r="F47" s="8" t="inlineStr"/>
      <c r="G47" s="4" t="inlineStr"/>
      <c r="H47" s="5" t="inlineStr"/>
      <c r="I47" s="4" t="inlineStr"/>
      <c r="J47" s="6" t="inlineStr"/>
      <c r="K47" s="5" t="inlineStr"/>
    </row>
    <row r="48">
      <c r="A48" s="2" t="inlineStr">
        <is>
          <t>CP-PT-01</t>
        </is>
      </c>
      <c r="B48" s="3" t="inlineStr">
        <is>
          <t>Portal cliente — Plantillas y Campañas</t>
        </is>
      </c>
      <c r="C48" s="2" t="inlineStr">
        <is>
          <t>Alta</t>
        </is>
      </c>
      <c r="D48" s="3" t="inlineStr">
        <is>
          <t>Constructor HTML</t>
        </is>
      </c>
      <c r="E48" s="3" t="inlineStr">
        <is>
          <t>Crear plantilla con bloques, ajustes, vista previa, publicar</t>
        </is>
      </c>
      <c r="F48" s="3" t="inlineStr"/>
      <c r="G48" s="4" t="inlineStr"/>
      <c r="H48" s="5" t="inlineStr"/>
      <c r="I48" s="4" t="inlineStr"/>
      <c r="J48" s="6" t="inlineStr"/>
      <c r="K48" s="5" t="inlineStr"/>
    </row>
    <row r="49">
      <c r="A49" s="7" t="inlineStr">
        <is>
          <t>CP-PT-02</t>
        </is>
      </c>
      <c r="B49" s="8" t="inlineStr">
        <is>
          <t>Portal cliente — Plantillas y Campañas</t>
        </is>
      </c>
      <c r="C49" s="7" t="inlineStr">
        <is>
          <t>Media</t>
        </is>
      </c>
      <c r="D49" s="8" t="inlineStr">
        <is>
          <t>Plantillas SMS/WhatsApp/DOCX</t>
        </is>
      </c>
      <c r="E49" s="8" t="inlineStr">
        <is>
          <t>Crear cada tipo con su modelo</t>
        </is>
      </c>
      <c r="F49" s="8" t="inlineStr"/>
      <c r="G49" s="4" t="inlineStr"/>
      <c r="H49" s="5" t="inlineStr"/>
      <c r="I49" s="4" t="inlineStr"/>
      <c r="J49" s="6" t="inlineStr"/>
      <c r="K49" s="5" t="inlineStr"/>
    </row>
    <row r="50">
      <c r="A50" s="2" t="inlineStr">
        <is>
          <t>CP-PT-03</t>
        </is>
      </c>
      <c r="B50" s="3" t="inlineStr">
        <is>
          <t>Portal cliente — Plantillas y Campañas</t>
        </is>
      </c>
      <c r="C50" s="2" t="inlineStr">
        <is>
          <t>Alta</t>
        </is>
      </c>
      <c r="D50" s="3" t="inlineStr">
        <is>
          <t>Crear campaña</t>
        </is>
      </c>
      <c r="E50" s="3" t="inlineStr">
        <is>
          <t>Crear campaña (canal, plantilla, base del selector, from)</t>
        </is>
      </c>
      <c r="F50" s="3" t="inlineStr"/>
      <c r="G50" s="4" t="inlineStr"/>
      <c r="H50" s="5" t="inlineStr"/>
      <c r="I50" s="4" t="inlineStr"/>
      <c r="J50" s="6" t="inlineStr"/>
      <c r="K50" s="5" t="inlineStr"/>
    </row>
    <row r="51">
      <c r="A51" s="7" t="inlineStr">
        <is>
          <t>CP-PT-04</t>
        </is>
      </c>
      <c r="B51" s="8" t="inlineStr">
        <is>
          <t>Portal cliente — Plantillas y Campañas</t>
        </is>
      </c>
      <c r="C51" s="7" t="inlineStr">
        <is>
          <t>Alta</t>
        </is>
      </c>
      <c r="D51" s="8" t="inlineStr">
        <is>
          <t>Editar campaña no re-lista plantillas</t>
        </is>
      </c>
      <c r="E51" s="8" t="inlineStr">
        <is>
          <t>Abrir/cerrar el diálogo de editar varias veces (con DevTools abierto)</t>
        </is>
      </c>
      <c r="F51" s="8" t="inlineStr"/>
      <c r="G51" s="4" t="inlineStr"/>
      <c r="H51" s="5" t="inlineStr"/>
      <c r="I51" s="4" t="inlineStr"/>
      <c r="J51" s="6" t="inlineStr"/>
      <c r="K51" s="5" t="inlineStr"/>
    </row>
    <row r="52">
      <c r="A52" s="2" t="inlineStr">
        <is>
          <t>CP-PT-05</t>
        </is>
      </c>
      <c r="B52" s="3" t="inlineStr">
        <is>
          <t>Portal cliente — Plantillas y Campañas</t>
        </is>
      </c>
      <c r="C52" s="2" t="inlineStr">
        <is>
          <t>Media</t>
        </is>
      </c>
      <c r="D52" s="3" t="inlineStr">
        <is>
          <t>Editar solo estado Pendiente</t>
        </is>
      </c>
      <c r="E52" s="3" t="inlineStr">
        <is>
          <t>Intentar editar una campaña no-Pendiente</t>
        </is>
      </c>
      <c r="F52" s="3" t="inlineStr"/>
      <c r="G52" s="4" t="inlineStr"/>
      <c r="H52" s="5" t="inlineStr"/>
      <c r="I52" s="4" t="inlineStr"/>
      <c r="J52" s="6" t="inlineStr"/>
      <c r="K52" s="5" t="inlineStr"/>
    </row>
    <row r="53">
      <c r="A53" s="7" t="inlineStr">
        <is>
          <t>CP-PT-06</t>
        </is>
      </c>
      <c r="B53" s="8" t="inlineStr">
        <is>
          <t>Portal cliente — Plantillas y Campañas</t>
        </is>
      </c>
      <c r="C53" s="7" t="inlineStr">
        <is>
          <t>Media</t>
        </is>
      </c>
      <c r="D53" s="8" t="inlineStr">
        <is>
          <t>Selector de base</t>
        </is>
      </c>
      <c r="E53" s="8" t="inlineStr">
        <is>
          <t>En crear/editar, elegir base del selector</t>
        </is>
      </c>
      <c r="F53" s="8" t="inlineStr"/>
      <c r="G53" s="4" t="inlineStr"/>
      <c r="H53" s="5" t="inlineStr"/>
      <c r="I53" s="4" t="inlineStr"/>
      <c r="J53" s="6" t="inlineStr"/>
      <c r="K53" s="5" t="inlineStr"/>
    </row>
    <row r="54">
      <c r="A54" s="2" t="inlineStr">
        <is>
          <t>CP-PT-07</t>
        </is>
      </c>
      <c r="B54" s="3" t="inlineStr">
        <is>
          <t>Portal cliente — Plantillas y Campañas</t>
        </is>
      </c>
      <c r="C54" s="2" t="inlineStr">
        <is>
          <t>Alta</t>
        </is>
      </c>
      <c r="D54" s="3" t="inlineStr">
        <is>
          <t>Consecutivo único (concurrencia)</t>
        </is>
      </c>
      <c r="E54" s="3" t="inlineStr">
        <is>
          <t>Crear 2 campañas del mismo cliente casi simultáneas</t>
        </is>
      </c>
      <c r="F54" s="3" t="inlineStr"/>
      <c r="G54" s="4" t="inlineStr"/>
      <c r="H54" s="5" t="inlineStr"/>
      <c r="I54" s="4" t="inlineStr"/>
      <c r="J54" s="6" t="inlineStr"/>
      <c r="K54" s="5" t="inlineStr"/>
    </row>
    <row r="55">
      <c r="A55" s="7" t="inlineStr">
        <is>
          <t>CP-PT-08</t>
        </is>
      </c>
      <c r="B55" s="8" t="inlineStr">
        <is>
          <t>Portal cliente — Plantillas y Campañas</t>
        </is>
      </c>
      <c r="C55" s="7" t="inlineStr">
        <is>
          <t>Baja</t>
        </is>
      </c>
      <c r="D55" s="8" t="inlineStr">
        <is>
          <t>Consecutivo siembra legado</t>
        </is>
      </c>
      <c r="E55" s="8" t="inlineStr">
        <is>
          <t>Cliente con consecutivo previo 0007 crea nueva</t>
        </is>
      </c>
      <c r="F55" s="8" t="inlineStr"/>
      <c r="G55" s="4" t="inlineStr"/>
      <c r="H55" s="5" t="inlineStr"/>
      <c r="I55" s="4" t="inlineStr"/>
      <c r="J55" s="6" t="inlineStr"/>
      <c r="K55" s="5" t="inlineStr"/>
    </row>
    <row r="56">
      <c r="A56" s="2" t="inlineStr">
        <is>
          <t>CP-BD-01</t>
        </is>
      </c>
      <c r="B56" s="3" t="inlineStr">
        <is>
          <t>Portal cliente — Bases de datos (CSV + Excel)</t>
        </is>
      </c>
      <c r="C56" s="2" t="inlineStr">
        <is>
          <t>Alta</t>
        </is>
      </c>
      <c r="D56" s="3" t="inlineStr">
        <is>
          <t>Carga CSV válido</t>
        </is>
      </c>
      <c r="E56" s="3" t="inlineStr">
        <is>
          <t>Subir CSV con estructura id;contacto;nombre</t>
        </is>
      </c>
      <c r="F56" s="3" t="inlineStr"/>
      <c r="G56" s="4" t="inlineStr"/>
      <c r="H56" s="5" t="inlineStr"/>
      <c r="I56" s="4" t="inlineStr"/>
      <c r="J56" s="6" t="inlineStr"/>
      <c r="K56" s="5" t="inlineStr"/>
    </row>
    <row r="57">
      <c r="A57" s="7" t="inlineStr">
        <is>
          <t>CP-BD-02</t>
        </is>
      </c>
      <c r="B57" s="8" t="inlineStr">
        <is>
          <t>Portal cliente — Bases de datos (CSV + Excel)</t>
        </is>
      </c>
      <c r="C57" s="7" t="inlineStr">
        <is>
          <t>Alta</t>
        </is>
      </c>
      <c r="D57" s="8" t="inlineStr">
        <is>
          <t>Carga Excel .xlsx</t>
        </is>
      </c>
      <c r="E57" s="8" t="inlineStr">
        <is>
          <t>Subir un .xlsx plano (primera hoja)</t>
        </is>
      </c>
      <c r="F57" s="8" t="inlineStr"/>
      <c r="G57" s="4" t="inlineStr"/>
      <c r="H57" s="5" t="inlineStr"/>
      <c r="I57" s="4" t="inlineStr"/>
      <c r="J57" s="6" t="inlineStr"/>
      <c r="K57" s="5" t="inlineStr"/>
    </row>
    <row r="58">
      <c r="A58" s="2" t="inlineStr">
        <is>
          <t>CP-BD-03</t>
        </is>
      </c>
      <c r="B58" s="3" t="inlineStr">
        <is>
          <t>Portal cliente — Bases de datos (CSV + Excel)</t>
        </is>
      </c>
      <c r="C58" s="2" t="inlineStr">
        <is>
          <t>Media</t>
        </is>
      </c>
      <c r="D58" s="3" t="inlineStr">
        <is>
          <t>Excel: delimitador fijo</t>
        </is>
      </c>
      <c r="E58" s="3" t="inlineStr">
        <is>
          <t>Con Excel cargado, revisar el selector de delimitador</t>
        </is>
      </c>
      <c r="F58" s="3" t="inlineStr"/>
      <c r="G58" s="4" t="inlineStr"/>
      <c r="H58" s="5" t="inlineStr"/>
      <c r="I58" s="4" t="inlineStr"/>
      <c r="J58" s="6" t="inlineStr"/>
      <c r="K58" s="5" t="inlineStr"/>
    </row>
    <row r="59">
      <c r="A59" s="7" t="inlineStr">
        <is>
          <t>CP-BD-04</t>
        </is>
      </c>
      <c r="B59" s="8" t="inlineStr">
        <is>
          <t>Portal cliente — Bases de datos (CSV + Excel)</t>
        </is>
      </c>
      <c r="C59" s="7" t="inlineStr">
        <is>
          <t>Media</t>
        </is>
      </c>
      <c r="D59" s="8" t="inlineStr">
        <is>
          <t>Excel: número como texto</t>
        </is>
      </c>
      <c r="E59" s="8" t="inlineStr">
        <is>
          <t>Excel con celular guardado como número</t>
        </is>
      </c>
      <c r="F59" s="8" t="inlineStr"/>
      <c r="G59" s="4" t="inlineStr"/>
      <c r="H59" s="5" t="inlineStr"/>
      <c r="I59" s="4" t="inlineStr"/>
      <c r="J59" s="6" t="inlineStr"/>
      <c r="K59" s="5" t="inlineStr"/>
    </row>
    <row r="60">
      <c r="A60" s="2" t="inlineStr">
        <is>
          <t>CP-BD-05</t>
        </is>
      </c>
      <c r="B60" s="3" t="inlineStr">
        <is>
          <t>Portal cliente — Bases de datos (CSV + Excel)</t>
        </is>
      </c>
      <c r="C60" s="2" t="inlineStr">
        <is>
          <t>Media</t>
        </is>
      </c>
      <c r="D60" s="3" t="inlineStr">
        <is>
          <t>Estructura inválida</t>
        </is>
      </c>
      <c r="E60" s="3" t="inlineStr">
        <is>
          <t>CSV/Excel con columnas fuera de orden</t>
        </is>
      </c>
      <c r="F60" s="3" t="inlineStr"/>
      <c r="G60" s="4" t="inlineStr"/>
      <c r="H60" s="5" t="inlineStr"/>
      <c r="I60" s="4" t="inlineStr"/>
      <c r="J60" s="6" t="inlineStr"/>
      <c r="K60" s="5" t="inlineStr"/>
    </row>
    <row r="61">
      <c r="A61" s="7" t="inlineStr">
        <is>
          <t>CP-BD-06</t>
        </is>
      </c>
      <c r="B61" s="8" t="inlineStr">
        <is>
          <t>Portal cliente — Bases de datos (CSV + Excel)</t>
        </is>
      </c>
      <c r="C61" s="7" t="inlineStr">
        <is>
          <t>Media</t>
        </is>
      </c>
      <c r="D61" s="8" t="inlineStr">
        <is>
          <t>Canal → tipo de contacto</t>
        </is>
      </c>
      <c r="E61" s="8" t="inlineStr">
        <is>
          <t>Cambiar canal a SMS/WhatsApp/Voz</t>
        </is>
      </c>
      <c r="F61" s="8" t="inlineStr"/>
      <c r="G61" s="4" t="inlineStr"/>
      <c r="H61" s="5" t="inlineStr"/>
      <c r="I61" s="4" t="inlineStr"/>
      <c r="J61" s="6" t="inlineStr"/>
      <c r="K61" s="5" t="inlineStr"/>
    </row>
    <row r="62">
      <c r="A62" s="2" t="inlineStr">
        <is>
          <t>CP-BD-07</t>
        </is>
      </c>
      <c r="B62" s="3" t="inlineStr">
        <is>
          <t>Portal cliente — Bases de datos (CSV + Excel)</t>
        </is>
      </c>
      <c r="C62" s="2" t="inlineStr">
        <is>
          <t>Media</t>
        </is>
      </c>
      <c r="D62" s="3" t="inlineStr">
        <is>
          <t>Registro tras subir</t>
        </is>
      </c>
      <c r="E62" s="3" t="inlineStr">
        <is>
          <t>Subir base</t>
        </is>
      </c>
      <c r="F62" s="3" t="inlineStr"/>
      <c r="G62" s="4" t="inlineStr"/>
      <c r="H62" s="5" t="inlineStr"/>
      <c r="I62" s="4" t="inlineStr"/>
      <c r="J62" s="6" t="inlineStr"/>
      <c r="K62" s="5" t="inlineStr"/>
    </row>
    <row r="63">
      <c r="A63" s="7" t="inlineStr">
        <is>
          <t>CP-BD-08</t>
        </is>
      </c>
      <c r="B63" s="8" t="inlineStr">
        <is>
          <t>Portal cliente — Bases de datos (CSV + Excel)</t>
        </is>
      </c>
      <c r="C63" s="7" t="inlineStr">
        <is>
          <t>Media</t>
        </is>
      </c>
      <c r="D63" s="8" t="inlineStr">
        <is>
          <t>Fallo de registro visible</t>
        </is>
      </c>
      <c r="E63" s="8" t="inlineStr">
        <is>
          <t>Simular fallo en /Database/Register-file</t>
        </is>
      </c>
      <c r="F63" s="8" t="inlineStr"/>
      <c r="G63" s="4" t="inlineStr"/>
      <c r="H63" s="5" t="inlineStr"/>
      <c r="I63" s="4" t="inlineStr"/>
      <c r="J63" s="6" t="inlineStr"/>
      <c r="K63" s="5" t="inlineStr"/>
    </row>
    <row r="64">
      <c r="A64" s="2" t="inlineStr">
        <is>
          <t>CP-BD-09</t>
        </is>
      </c>
      <c r="B64" s="3" t="inlineStr">
        <is>
          <t>Portal cliente — Bases de datos (CSV + Excel)</t>
        </is>
      </c>
      <c r="C64" s="2" t="inlineStr">
        <is>
          <t>Baja</t>
        </is>
      </c>
      <c r="D64" s="3" t="inlineStr">
        <is>
          <t>Eliminar base</t>
        </is>
      </c>
      <c r="E64" s="3" t="inlineStr">
        <is>
          <t>Papelera en la tabla</t>
        </is>
      </c>
      <c r="F64" s="3" t="inlineStr"/>
      <c r="G64" s="4" t="inlineStr"/>
      <c r="H64" s="5" t="inlineStr"/>
      <c r="I64" s="4" t="inlineStr"/>
      <c r="J64" s="6" t="inlineStr"/>
      <c r="K64" s="5" t="inlineStr"/>
    </row>
    <row r="65">
      <c r="A65" s="7" t="inlineStr">
        <is>
          <t>CP-BD-10</t>
        </is>
      </c>
      <c r="B65" s="8" t="inlineStr">
        <is>
          <t>Portal cliente — Bases de datos (CSV + Excel)</t>
        </is>
      </c>
      <c r="C65" s="7" t="inlineStr">
        <is>
          <t>Baja</t>
        </is>
      </c>
      <c r="D65" s="8" t="inlineStr">
        <is>
          <t>Columns para variables</t>
        </is>
      </c>
      <c r="E65" s="8" t="inlineStr">
        <is>
          <t>Subir base y abrir picker de variables</t>
        </is>
      </c>
      <c r="F65" s="8" t="inlineStr"/>
      <c r="G65" s="4" t="inlineStr"/>
      <c r="H65" s="5" t="inlineStr"/>
      <c r="I65" s="4" t="inlineStr"/>
      <c r="J65" s="6" t="inlineStr"/>
      <c r="K65" s="5" t="inlineStr"/>
    </row>
    <row r="66">
      <c r="A66" s="2" t="inlineStr">
        <is>
          <t>CP-MU-01</t>
        </is>
      </c>
      <c r="B66" s="3" t="inlineStr">
        <is>
          <t>Portal cliente — Muestras, Envío real, Reportes, Estadísticas</t>
        </is>
      </c>
      <c r="C66" s="2" t="inlineStr">
        <is>
          <t>Alta</t>
        </is>
      </c>
      <c r="D66" s="3" t="inlineStr">
        <is>
          <t>Envío de muestras</t>
        </is>
      </c>
      <c r="E66" s="3" t="inlineStr">
        <is>
          <t>Configurar 1–5 muestras (aleatorias/selectivas) y enviar</t>
        </is>
      </c>
      <c r="F66" s="3" t="inlineStr"/>
      <c r="G66" s="4" t="inlineStr"/>
      <c r="H66" s="5" t="inlineStr"/>
      <c r="I66" s="4" t="inlineStr"/>
      <c r="J66" s="6" t="inlineStr"/>
      <c r="K66" s="5" t="inlineStr"/>
    </row>
    <row r="67">
      <c r="A67" s="7" t="inlineStr">
        <is>
          <t>CP-MU-02</t>
        </is>
      </c>
      <c r="B67" s="8" t="inlineStr">
        <is>
          <t>Portal cliente — Muestras, Envío real, Reportes, Estadísticas</t>
        </is>
      </c>
      <c r="C67" s="7" t="inlineStr">
        <is>
          <t>Media</t>
        </is>
      </c>
      <c r="D67" s="8" t="inlineStr">
        <is>
          <t>Límite de muestras</t>
        </is>
      </c>
      <c r="E67" s="8" t="inlineStr">
        <is>
          <t>Enviar muestras 6 veces en la misma campaña</t>
        </is>
      </c>
      <c r="F67" s="8" t="inlineStr"/>
      <c r="G67" s="4" t="inlineStr"/>
      <c r="H67" s="5" t="inlineStr"/>
      <c r="I67" s="4" t="inlineStr"/>
      <c r="J67" s="6" t="inlineStr"/>
      <c r="K67" s="5" t="inlineStr"/>
    </row>
    <row r="68">
      <c r="A68" s="2" t="inlineStr">
        <is>
          <t>CP-MU-03</t>
        </is>
      </c>
      <c r="B68" s="3" t="inlineStr">
        <is>
          <t>Portal cliente — Muestras, Envío real, Reportes, Estadísticas</t>
        </is>
      </c>
      <c r="C68" s="2" t="inlineStr">
        <is>
          <t>Alta</t>
        </is>
      </c>
      <c r="D68" s="3" t="inlineStr">
        <is>
          <t>Aprobar y envío real</t>
        </is>
      </c>
      <c r="E68" s="3" t="inlineStr">
        <is>
          <t>Aprobar → Enviar campaña real</t>
        </is>
      </c>
      <c r="F68" s="3" t="inlineStr"/>
      <c r="G68" s="4" t="inlineStr"/>
      <c r="H68" s="5" t="inlineStr"/>
      <c r="I68" s="4" t="inlineStr"/>
      <c r="J68" s="6" t="inlineStr"/>
      <c r="K68" s="5" t="inlineStr"/>
    </row>
    <row r="69">
      <c r="A69" s="7" t="inlineStr">
        <is>
          <t>CP-MU-04</t>
        </is>
      </c>
      <c r="B69" s="8" t="inlineStr">
        <is>
          <t>Portal cliente — Muestras, Envío real, Reportes, Estadísticas</t>
        </is>
      </c>
      <c r="C69" s="7" t="inlineStr">
        <is>
          <t>Alta</t>
        </is>
      </c>
      <c r="D69" s="8" t="inlineStr">
        <is>
          <t>Bloqueo por realSendEnabled</t>
        </is>
      </c>
      <c r="E69" s="8" t="inlineStr">
        <is>
          <t>Cliente con realSendEnabled=false intenta envío real</t>
        </is>
      </c>
      <c r="F69" s="8" t="inlineStr"/>
      <c r="G69" s="4" t="inlineStr"/>
      <c r="H69" s="5" t="inlineStr"/>
      <c r="I69" s="4" t="inlineStr"/>
      <c r="J69" s="6" t="inlineStr"/>
      <c r="K69" s="5" t="inlineStr"/>
    </row>
    <row r="70">
      <c r="A70" s="2" t="inlineStr">
        <is>
          <t>CP-MU-05</t>
        </is>
      </c>
      <c r="B70" s="3" t="inlineStr">
        <is>
          <t>Portal cliente — Muestras, Envío real, Reportes, Estadísticas</t>
        </is>
      </c>
      <c r="C70" s="2" t="inlineStr">
        <is>
          <t>Alta</t>
        </is>
      </c>
      <c r="D70" s="3" t="inlineStr">
        <is>
          <t>Estimador de costo</t>
        </is>
      </c>
      <c r="E70" s="3" t="inlineStr">
        <is>
          <t>Ver CostEstimate antes de enviar</t>
        </is>
      </c>
      <c r="F70" s="3" t="inlineStr"/>
      <c r="G70" s="4" t="inlineStr"/>
      <c r="H70" s="5" t="inlineStr"/>
      <c r="I70" s="4" t="inlineStr"/>
      <c r="J70" s="6" t="inlineStr"/>
      <c r="K70" s="5" t="inlineStr"/>
    </row>
    <row r="71">
      <c r="A71" s="7" t="inlineStr">
        <is>
          <t>CP-MU-06</t>
        </is>
      </c>
      <c r="B71" s="8" t="inlineStr">
        <is>
          <t>Portal cliente — Muestras, Envío real, Reportes, Estadísticas</t>
        </is>
      </c>
      <c r="C71" s="7" t="inlineStr">
        <is>
          <t>Alta</t>
        </is>
      </c>
      <c r="D71" s="8" t="inlineStr">
        <is>
          <t>Tarifa por cliente en el estimador</t>
        </is>
      </c>
      <c r="E71" s="8" t="inlineStr">
        <is>
          <t>Admin fija override para el cliente X; X abre su estimador</t>
        </is>
      </c>
      <c r="F71" s="8" t="inlineStr"/>
      <c r="G71" s="4" t="inlineStr"/>
      <c r="H71" s="5" t="inlineStr"/>
      <c r="I71" s="4" t="inlineStr"/>
      <c r="J71" s="6" t="inlineStr"/>
      <c r="K71" s="5" t="inlineStr"/>
    </row>
    <row r="72">
      <c r="A72" s="2" t="inlineStr">
        <is>
          <t>CP-MU-07</t>
        </is>
      </c>
      <c r="B72" s="3" t="inlineStr">
        <is>
          <t>Portal cliente — Muestras, Envío real, Reportes, Estadísticas</t>
        </is>
      </c>
      <c r="C72" s="2" t="inlineStr">
        <is>
          <t>Baja</t>
        </is>
      </c>
      <c r="D72" s="3" t="inlineStr">
        <is>
          <t>Reportes / estado por campaña</t>
        </is>
      </c>
      <c r="E72" s="3" t="inlineStr">
        <is>
          <t>Exportar resumen CSV y reporte de estado</t>
        </is>
      </c>
      <c r="F72" s="3" t="inlineStr"/>
      <c r="G72" s="4" t="inlineStr"/>
      <c r="H72" s="5" t="inlineStr"/>
      <c r="I72" s="4" t="inlineStr"/>
      <c r="J72" s="6" t="inlineStr"/>
      <c r="K72" s="5" t="inlineStr"/>
    </row>
    <row r="73">
      <c r="A73" s="7" t="inlineStr">
        <is>
          <t>CP-EST-01</t>
        </is>
      </c>
      <c r="B73" s="8" t="inlineStr">
        <is>
          <t>Portal cliente — Muestras, Envío real, Reportes, Estadísticas</t>
        </is>
      </c>
      <c r="C73" s="7" t="inlineStr">
        <is>
          <t>Media</t>
        </is>
      </c>
      <c r="D73" s="8" t="inlineStr">
        <is>
          <t>Estadísticas</t>
        </is>
      </c>
      <c r="E73" s="8" t="inlineStr">
        <is>
          <t>Abrir Estadísticas</t>
        </is>
      </c>
      <c r="F73" s="8" t="inlineStr"/>
      <c r="G73" s="4" t="inlineStr"/>
      <c r="H73" s="5" t="inlineStr"/>
      <c r="I73" s="4" t="inlineStr"/>
      <c r="J73" s="6" t="inlineStr"/>
      <c r="K73" s="5" t="inlineStr"/>
    </row>
    <row r="74">
      <c r="A74" s="2" t="inlineStr">
        <is>
          <t>CP-CH-01</t>
        </is>
      </c>
      <c r="B74" s="3" t="inlineStr">
        <is>
          <t>Envíos multicanal + estados de entrega</t>
        </is>
      </c>
      <c r="C74" s="2" t="inlineStr">
        <is>
          <t>Alta</t>
        </is>
      </c>
      <c r="D74" s="3" t="inlineStr">
        <is>
          <t>Correo EM</t>
        </is>
      </c>
      <c r="E74" s="3" t="inlineStr">
        <is>
          <t>Enviar campaña EM real</t>
        </is>
      </c>
      <c r="F74" s="3" t="inlineStr"/>
      <c r="G74" s="4" t="inlineStr"/>
      <c r="H74" s="5" t="inlineStr"/>
      <c r="I74" s="4" t="inlineStr"/>
      <c r="J74" s="6" t="inlineStr"/>
      <c r="K74" s="5" t="inlineStr"/>
    </row>
    <row r="75">
      <c r="A75" s="7" t="inlineStr">
        <is>
          <t>CP-CH-02</t>
        </is>
      </c>
      <c r="B75" s="8" t="inlineStr">
        <is>
          <t>Envíos multicanal + estados de entrega</t>
        </is>
      </c>
      <c r="C75" s="7" t="inlineStr">
        <is>
          <t>Alta</t>
        </is>
      </c>
      <c r="D75" s="8" t="inlineStr">
        <is>
          <t>Correo EAU adjunto</t>
        </is>
      </c>
      <c r="E75" s="8" t="inlineStr">
        <is>
          <t>Campaña EAU con adjunto</t>
        </is>
      </c>
      <c r="F75" s="8" t="inlineStr"/>
      <c r="G75" s="4" t="inlineStr"/>
      <c r="H75" s="5" t="inlineStr"/>
      <c r="I75" s="4" t="inlineStr"/>
      <c r="J75" s="6" t="inlineStr"/>
      <c r="K75" s="5" t="inlineStr"/>
    </row>
    <row r="76">
      <c r="A76" s="2" t="inlineStr">
        <is>
          <t>CP-CH-03</t>
        </is>
      </c>
      <c r="B76" s="3" t="inlineStr">
        <is>
          <t>Envíos multicanal + estados de entrega</t>
        </is>
      </c>
      <c r="C76" s="2" t="inlineStr">
        <is>
          <t>Alta</t>
        </is>
      </c>
      <c r="D76" s="3" t="inlineStr">
        <is>
          <t>Correo EAP desuscripción</t>
        </is>
      </c>
      <c r="E76" s="3" t="inlineStr">
        <is>
          <t>Campaña EAP (adjunto personalizado)</t>
        </is>
      </c>
      <c r="F76" s="3" t="inlineStr"/>
      <c r="G76" s="4" t="inlineStr"/>
      <c r="H76" s="5" t="inlineStr"/>
      <c r="I76" s="4" t="inlineStr"/>
      <c r="J76" s="6" t="inlineStr"/>
      <c r="K76" s="5" t="inlineStr"/>
    </row>
    <row r="77">
      <c r="A77" s="7" t="inlineStr">
        <is>
          <t>CP-CH-04</t>
        </is>
      </c>
      <c r="B77" s="8" t="inlineStr">
        <is>
          <t>Envíos multicanal + estados de entrega</t>
        </is>
      </c>
      <c r="C77" s="7" t="inlineStr">
        <is>
          <t>Alta</t>
        </is>
      </c>
      <c r="D77" s="8" t="inlineStr">
        <is>
          <t>Desuscripción end-to-end</t>
        </is>
      </c>
      <c r="E77" s="8" t="inlineStr">
        <is>
          <t>Clic en el enlace de baja de un correo</t>
        </is>
      </c>
      <c r="F77" s="8" t="inlineStr"/>
      <c r="G77" s="4" t="inlineStr"/>
      <c r="H77" s="5" t="inlineStr"/>
      <c r="I77" s="4" t="inlineStr"/>
      <c r="J77" s="6" t="inlineStr"/>
      <c r="K77" s="5" t="inlineStr"/>
    </row>
    <row r="78">
      <c r="A78" s="2" t="inlineStr">
        <is>
          <t>CP-CH-05</t>
        </is>
      </c>
      <c r="B78" s="3" t="inlineStr">
        <is>
          <t>Envíos multicanal + estados de entrega</t>
        </is>
      </c>
      <c r="C78" s="2" t="inlineStr">
        <is>
          <t>Alta</t>
        </is>
      </c>
      <c r="D78" s="3" t="inlineStr">
        <is>
          <t>Filtro de desuscritos</t>
        </is>
      </c>
      <c r="E78" s="3" t="inlineStr">
        <is>
          <t>Enviar de nuevo a un desuscrito</t>
        </is>
      </c>
      <c r="F78" s="3" t="inlineStr"/>
      <c r="G78" s="4" t="inlineStr"/>
      <c r="H78" s="5" t="inlineStr"/>
      <c r="I78" s="4" t="inlineStr"/>
      <c r="J78" s="6" t="inlineStr"/>
      <c r="K78" s="5" t="inlineStr"/>
    </row>
    <row r="79">
      <c r="A79" s="7" t="inlineStr">
        <is>
          <t>CP-CH-06</t>
        </is>
      </c>
      <c r="B79" s="8" t="inlineStr">
        <is>
          <t>Envíos multicanal + estados de entrega</t>
        </is>
      </c>
      <c r="C79" s="7" t="inlineStr">
        <is>
          <t>Media</t>
        </is>
      </c>
      <c r="D79" s="8" t="inlineStr">
        <is>
          <t>SMS</t>
        </is>
      </c>
      <c r="E79" s="8" t="inlineStr">
        <is>
          <t>Campaña SMS con texto/variables</t>
        </is>
      </c>
      <c r="F79" s="8" t="inlineStr"/>
      <c r="G79" s="4" t="inlineStr"/>
      <c r="H79" s="5" t="inlineStr"/>
      <c r="I79" s="4" t="inlineStr"/>
      <c r="J79" s="6" t="inlineStr"/>
      <c r="K79" s="5" t="inlineStr"/>
    </row>
    <row r="80">
      <c r="A80" s="2" t="inlineStr">
        <is>
          <t>CP-CH-07</t>
        </is>
      </c>
      <c r="B80" s="3" t="inlineStr">
        <is>
          <t>Envíos multicanal + estados de entrega</t>
        </is>
      </c>
      <c r="C80" s="2" t="inlineStr">
        <is>
          <t>Media</t>
        </is>
      </c>
      <c r="D80" s="3" t="inlineStr">
        <is>
          <t>WhatsApp (envío)</t>
        </is>
      </c>
      <c r="E80" s="3" t="inlineStr">
        <is>
          <t>Campaña WSP con plantilla HSM</t>
        </is>
      </c>
      <c r="F80" s="3" t="inlineStr"/>
      <c r="G80" s="4" t="inlineStr"/>
      <c r="H80" s="5" t="inlineStr"/>
      <c r="I80" s="4" t="inlineStr"/>
      <c r="J80" s="6" t="inlineStr"/>
      <c r="K80" s="5" t="inlineStr"/>
    </row>
    <row r="81">
      <c r="A81" s="7" t="inlineStr">
        <is>
          <t>CP-CH-08</t>
        </is>
      </c>
      <c r="B81" s="8" t="inlineStr">
        <is>
          <t>Envíos multicanal + estados de entrega</t>
        </is>
      </c>
      <c r="C81" s="7" t="inlineStr">
        <is>
          <t>Alta</t>
        </is>
      </c>
      <c r="D81" s="8" t="inlineStr">
        <is>
          <t>WhatsApp recepción</t>
        </is>
      </c>
      <c r="E81" s="8" t="inlineStr">
        <is>
          <t>Simular recibo de Meta (delivered/read/failed) por la SNS</t>
        </is>
      </c>
      <c r="F81" s="8" t="inlineStr"/>
      <c r="G81" s="4" t="inlineStr"/>
      <c r="H81" s="5" t="inlineStr"/>
      <c r="I81" s="4" t="inlineStr"/>
      <c r="J81" s="6" t="inlineStr"/>
      <c r="K81" s="5" t="inlineStr"/>
    </row>
    <row r="82">
      <c r="A82" s="2" t="inlineStr">
        <is>
          <t>CP-CH-09</t>
        </is>
      </c>
      <c r="B82" s="3" t="inlineStr">
        <is>
          <t>Envíos multicanal + estados de entrega</t>
        </is>
      </c>
      <c r="C82" s="2" t="inlineStr">
        <is>
          <t>Media</t>
        </is>
      </c>
      <c r="D82" s="3" t="inlineStr">
        <is>
          <t>WhatsApp recibo sin índice</t>
        </is>
      </c>
      <c r="E82" s="3" t="inlineStr">
        <is>
          <t>Recibo con messageId no indexado</t>
        </is>
      </c>
      <c r="F82" s="3" t="inlineStr"/>
      <c r="G82" s="4" t="inlineStr"/>
      <c r="H82" s="5" t="inlineStr"/>
      <c r="I82" s="4" t="inlineStr"/>
      <c r="J82" s="6" t="inlineStr"/>
      <c r="K82" s="5" t="inlineStr"/>
    </row>
    <row r="83">
      <c r="A83" s="7" t="inlineStr">
        <is>
          <t>CP-CH-10</t>
        </is>
      </c>
      <c r="B83" s="8" t="inlineStr">
        <is>
          <t>Envíos multicanal + estados de entrega</t>
        </is>
      </c>
      <c r="C83" s="7" t="inlineStr">
        <is>
          <t>Media</t>
        </is>
      </c>
      <c r="D83" s="8" t="inlineStr">
        <is>
          <t>SMS/Voz recepción</t>
        </is>
      </c>
      <c r="E83" s="8" t="inlineStr">
        <is>
          <t>Eventos EUM por SNS</t>
        </is>
      </c>
      <c r="F83" s="8" t="inlineStr"/>
      <c r="G83" s="4" t="inlineStr"/>
      <c r="H83" s="5" t="inlineStr"/>
      <c r="I83" s="4" t="inlineStr"/>
      <c r="J83" s="6" t="inlineStr"/>
      <c r="K83" s="5" t="inlineStr"/>
    </row>
    <row r="84">
      <c r="A84" s="2" t="inlineStr">
        <is>
          <t>CP-CH-11</t>
        </is>
      </c>
      <c r="B84" s="3" t="inlineStr">
        <is>
          <t>Envíos multicanal + estados de entrega</t>
        </is>
      </c>
      <c r="C84" s="2" t="inlineStr">
        <is>
          <t>Media</t>
        </is>
      </c>
      <c r="D84" s="3" t="inlineStr">
        <is>
          <t>Voz</t>
        </is>
      </c>
      <c r="E84" s="3" t="inlineStr">
        <is>
          <t>Campaña de voz (TTS)</t>
        </is>
      </c>
      <c r="F84" s="3" t="inlineStr"/>
      <c r="G84" s="4" t="inlineStr"/>
      <c r="H84" s="5" t="inlineStr"/>
      <c r="I84" s="4" t="inlineStr"/>
      <c r="J84" s="6" t="inlineStr"/>
      <c r="K84" s="5" t="inlineStr"/>
    </row>
    <row r="85">
      <c r="A85" s="7" t="inlineStr">
        <is>
          <t>CP-CH-12</t>
        </is>
      </c>
      <c r="B85" s="8" t="inlineStr">
        <is>
          <t>Envíos multicanal + estados de entrega</t>
        </is>
      </c>
      <c r="C85" s="7" t="inlineStr">
        <is>
          <t>Media</t>
        </is>
      </c>
      <c r="D85" s="8" t="inlineStr">
        <is>
          <t>Lista negra</t>
        </is>
      </c>
      <c r="E85" s="8" t="inlineStr">
        <is>
          <t>Contacto en {customer}_blackList</t>
        </is>
      </c>
      <c r="F85" s="8" t="inlineStr"/>
      <c r="G85" s="4" t="inlineStr"/>
      <c r="H85" s="5" t="inlineStr"/>
      <c r="I85" s="4" t="inlineStr"/>
      <c r="J85" s="6" t="inlineStr"/>
      <c r="K85" s="5" t="inlineStr"/>
    </row>
    <row r="86">
      <c r="A86" s="2" t="inlineStr">
        <is>
          <t>CP-RQ-01</t>
        </is>
      </c>
      <c r="B86" s="3" t="inlineStr">
        <is>
          <t>Trabajos — Reintentar / Reencolar</t>
        </is>
      </c>
      <c r="C86" s="2" t="inlineStr">
        <is>
          <t>Alta</t>
        </is>
      </c>
      <c r="D86" s="3" t="inlineStr">
        <is>
          <t>Botón visible solo si aplica</t>
        </is>
      </c>
      <c r="E86" s="3" t="inlineStr">
        <is>
          <t>Ver la columna Acciones en Trabajos</t>
        </is>
      </c>
      <c r="F86" s="3" t="inlineStr"/>
      <c r="G86" s="4" t="inlineStr"/>
      <c r="H86" s="5" t="inlineStr"/>
      <c r="I86" s="4" t="inlineStr"/>
      <c r="J86" s="6" t="inlineStr"/>
      <c r="K86" s="5" t="inlineStr"/>
    </row>
    <row r="87">
      <c r="A87" s="7" t="inlineStr">
        <is>
          <t>CP-RQ-02</t>
        </is>
      </c>
      <c r="B87" s="8" t="inlineStr">
        <is>
          <t>Trabajos — Reintentar / Reencolar</t>
        </is>
      </c>
      <c r="C87" s="7" t="inlineStr">
        <is>
          <t>Alta</t>
        </is>
      </c>
      <c r="D87" s="8" t="inlineStr">
        <is>
          <t>Reencola solo pendientes</t>
        </is>
      </c>
      <c r="E87" s="8" t="inlineStr">
        <is>
          <t>Proceso con partes 1 hecha, 2 y 3 pendientes → Reintentar</t>
        </is>
      </c>
      <c r="F87" s="8" t="inlineStr"/>
      <c r="G87" s="4" t="inlineStr"/>
      <c r="H87" s="5" t="inlineStr"/>
      <c r="I87" s="4" t="inlineStr"/>
      <c r="J87" s="6" t="inlineStr"/>
      <c r="K87" s="5" t="inlineStr"/>
    </row>
    <row r="88">
      <c r="A88" s="2" t="inlineStr">
        <is>
          <t>CP-RQ-03</t>
        </is>
      </c>
      <c r="B88" s="3" t="inlineStr">
        <is>
          <t>Trabajos — Reintentar / Reencolar</t>
        </is>
      </c>
      <c r="C88" s="2" t="inlineStr">
        <is>
          <t>Alta</t>
        </is>
      </c>
      <c r="D88" s="3" t="inlineStr">
        <is>
          <t>Idempotencia (no re-envía)</t>
        </is>
      </c>
      <c r="E88" s="3" t="inlineStr">
        <is>
          <t>Reintentar dos veces</t>
        </is>
      </c>
      <c r="F88" s="3" t="inlineStr"/>
      <c r="G88" s="4" t="inlineStr"/>
      <c r="H88" s="5" t="inlineStr"/>
      <c r="I88" s="4" t="inlineStr"/>
      <c r="J88" s="6" t="inlineStr"/>
      <c r="K88" s="5" t="inlineStr"/>
    </row>
    <row r="89">
      <c r="A89" s="7" t="inlineStr">
        <is>
          <t>CP-RQ-04</t>
        </is>
      </c>
      <c r="B89" s="8" t="inlineStr">
        <is>
          <t>Trabajos — Reintentar / Reencolar</t>
        </is>
      </c>
      <c r="C89" s="7" t="inlineStr">
        <is>
          <t>Media</t>
        </is>
      </c>
      <c r="D89" s="8" t="inlineStr">
        <is>
          <t>Sin partes pendientes</t>
        </is>
      </c>
      <c r="E89" s="8" t="inlineStr">
        <is>
          <t>Proceso completo → Reintentar</t>
        </is>
      </c>
      <c r="F89" s="8" t="inlineStr"/>
      <c r="G89" s="4" t="inlineStr"/>
      <c r="H89" s="5" t="inlineStr"/>
      <c r="I89" s="4" t="inlineStr"/>
      <c r="J89" s="6" t="inlineStr"/>
      <c r="K89" s="5" t="inlineStr"/>
    </row>
    <row r="90">
      <c r="A90" s="2" t="inlineStr">
        <is>
          <t>CP-RQ-05</t>
        </is>
      </c>
      <c r="B90" s="3" t="inlineStr">
        <is>
          <t>Trabajos — Reintentar / Reencolar</t>
        </is>
      </c>
      <c r="C90" s="2" t="inlineStr">
        <is>
          <t>Media</t>
        </is>
      </c>
      <c r="D90" s="3" t="inlineStr">
        <is>
          <t>Proceso viejo sin resumeCtx</t>
        </is>
      </c>
      <c r="E90" s="3" t="inlineStr">
        <is>
          <t>Reintentar un proceso creado antes de la función</t>
        </is>
      </c>
      <c r="F90" s="3" t="inlineStr"/>
      <c r="G90" s="4" t="inlineStr"/>
      <c r="H90" s="5" t="inlineStr"/>
      <c r="I90" s="4" t="inlineStr"/>
      <c r="J90" s="6" t="inlineStr"/>
      <c r="K90" s="5" t="inlineStr"/>
    </row>
    <row r="91">
      <c r="A91" s="7" t="inlineStr">
        <is>
          <t>CP-RQ-06</t>
        </is>
      </c>
      <c r="B91" s="8" t="inlineStr">
        <is>
          <t>Trabajos — Reintentar / Reencolar</t>
        </is>
      </c>
      <c r="C91" s="7" t="inlineStr">
        <is>
          <t>Media</t>
        </is>
      </c>
      <c r="D91" s="8" t="inlineStr">
        <is>
          <t>Solo admin</t>
        </is>
      </c>
      <c r="E91" s="8" t="inlineStr">
        <is>
          <t>Llamar /Admin/Requeue como cliente</t>
        </is>
      </c>
      <c r="F91" s="8" t="inlineStr"/>
      <c r="G91" s="4" t="inlineStr"/>
      <c r="H91" s="5" t="inlineStr"/>
      <c r="I91" s="4" t="inlineStr"/>
      <c r="J91" s="6" t="inlineStr"/>
      <c r="K91" s="5" t="inlineStr"/>
    </row>
    <row r="92">
      <c r="A92" s="2" t="inlineStr">
        <is>
          <t>CP-PERF-01</t>
        </is>
      </c>
      <c r="B92" s="3" t="inlineStr">
        <is>
          <t>Rendimiento / escalabilidad (verificación técnica)</t>
        </is>
      </c>
      <c r="C92" s="2" t="inlineStr">
        <is>
          <t>Media</t>
        </is>
      </c>
      <c r="D92" s="3" t="inlineStr">
        <is>
          <t>Login por GetItem</t>
        </is>
      </c>
      <c r="E92" s="3" t="inlineStr">
        <is>
          <t>Login normal (tras convertir scans→GetItem)</t>
        </is>
      </c>
      <c r="F92" s="3" t="inlineStr"/>
      <c r="G92" s="4" t="inlineStr"/>
      <c r="H92" s="5" t="inlineStr"/>
      <c r="I92" s="4" t="inlineStr"/>
      <c r="J92" s="6" t="inlineStr"/>
      <c r="K92" s="5" t="inlineStr"/>
    </row>
    <row r="93">
      <c r="A93" s="7" t="inlineStr">
        <is>
          <t>CP-PERF-02</t>
        </is>
      </c>
      <c r="B93" s="8" t="inlineStr">
        <is>
          <t>Rendimiento / escalabilidad (verificación técnica)</t>
        </is>
      </c>
      <c r="C93" s="7" t="inlineStr">
        <is>
          <t>Media</t>
        </is>
      </c>
      <c r="D93" s="8" t="inlineStr">
        <is>
          <t>Login GSI por email</t>
        </is>
      </c>
      <c r="E93" s="8" t="inlineStr">
        <is>
          <t>Con USER_EMAIL_GSI y el GSI creado</t>
        </is>
      </c>
      <c r="F93" s="8" t="inlineStr"/>
      <c r="G93" s="4" t="inlineStr"/>
      <c r="H93" s="5" t="inlineStr"/>
      <c r="I93" s="4" t="inlineStr"/>
      <c r="J93" s="6" t="inlineStr"/>
      <c r="K93" s="5" t="inlineStr"/>
    </row>
    <row r="94">
      <c r="A94" s="2" t="inlineStr">
        <is>
          <t>CP-PERF-03</t>
        </is>
      </c>
      <c r="B94" s="3" t="inlineStr">
        <is>
          <t>Rendimiento / escalabilidad (verificación técnica)</t>
        </is>
      </c>
      <c r="C94" s="2" t="inlineStr">
        <is>
          <t>Media</t>
        </is>
      </c>
      <c r="D94" s="3" t="inlineStr">
        <is>
          <t>GSI de campañas</t>
        </is>
      </c>
      <c r="E94" s="3" t="inlineStr">
        <is>
          <t>Con USE_GSI=true + customerId-index en campaign</t>
        </is>
      </c>
      <c r="F94" s="3" t="inlineStr"/>
      <c r="G94" s="4" t="inlineStr"/>
      <c r="H94" s="5" t="inlineStr"/>
      <c r="I94" s="4" t="inlineStr"/>
      <c r="J94" s="6" t="inlineStr"/>
      <c r="K94" s="5" t="inlineStr"/>
    </row>
    <row r="95">
      <c r="A95" s="7" t="inlineStr">
        <is>
          <t>CP-PERF-04</t>
        </is>
      </c>
      <c r="B95" s="8" t="inlineStr">
        <is>
          <t>Rendimiento / escalabilidad (verificación técnica)</t>
        </is>
      </c>
      <c r="C95" s="7" t="inlineStr">
        <is>
          <t>Media</t>
        </is>
      </c>
      <c r="D95" s="8" t="inlineStr">
        <is>
          <t>Billing sin timeout a escala</t>
        </is>
      </c>
      <c r="E95" s="8" t="inlineStr">
        <is>
          <t>Facturación con muchas campañas/procesos</t>
        </is>
      </c>
      <c r="F95" s="8" t="inlineStr"/>
      <c r="G95" s="4" t="inlineStr"/>
      <c r="H95" s="5" t="inlineStr"/>
      <c r="I95" s="4" t="inlineStr"/>
      <c r="J95" s="6" t="inlineStr"/>
      <c r="K95" s="5" t="inlineStr"/>
    </row>
    <row r="96">
      <c r="A96" s="2" t="inlineStr">
        <is>
          <t>CP-PERF-05</t>
        </is>
      </c>
      <c r="B96" s="3" t="inlineStr">
        <is>
          <t>Rendimiento / escalabilidad (verificación técnica)</t>
        </is>
      </c>
      <c r="C96" s="2" t="inlineStr">
        <is>
          <t>Baja</t>
        </is>
      </c>
      <c r="D96" s="3" t="inlineStr">
        <is>
          <t>sendSummary O(1)</t>
        </is>
      </c>
      <c r="E96" s="3" t="inlineStr">
        <is>
          <t>Con SEND_SUMMARY_READ=true + backfill</t>
        </is>
      </c>
      <c r="F96" s="3" t="inlineStr"/>
      <c r="G96" s="4" t="inlineStr"/>
      <c r="H96" s="5" t="inlineStr"/>
      <c r="I96" s="4" t="inlineStr"/>
      <c r="J96" s="6" t="inlineStr"/>
      <c r="K96" s="5" t="inlineStr"/>
    </row>
    <row r="97">
      <c r="A97" s="7" t="inlineStr">
        <is>
          <t>CP-PERF-06</t>
        </is>
      </c>
      <c r="B97" s="8" t="inlineStr">
        <is>
          <t>Rendimiento / escalabilidad (verificación técnica)</t>
        </is>
      </c>
      <c r="C97" s="7" t="inlineStr">
        <is>
          <t>Baja</t>
        </is>
      </c>
      <c r="D97" s="8" t="inlineStr">
        <is>
          <t>Base grande (fan-out)</t>
        </is>
      </c>
      <c r="E97" s="8" t="inlineStr">
        <is>
          <t>Envío real con base 100k+</t>
        </is>
      </c>
      <c r="F97" s="8" t="inlineStr"/>
      <c r="G97" s="4" t="inlineStr"/>
      <c r="H97" s="5" t="inlineStr"/>
      <c r="I97" s="4" t="inlineStr"/>
      <c r="J97" s="6" t="inlineStr"/>
      <c r="K97" s="5" t="inlineStr"/>
    </row>
    <row r="98">
      <c r="A98" s="2" t="inlineStr">
        <is>
          <t>CP-PAY-01</t>
        </is>
      </c>
      <c r="B98" s="3" t="inlineStr">
        <is>
          <t>Portal de pagos — Prepago (implementado; ver la sección Prepago en CLAUDE.md)</t>
        </is>
      </c>
      <c r="C98" s="2" t="inlineStr">
        <is>
          <t>Alta</t>
        </is>
      </c>
      <c r="D98" s="3" t="inlineStr">
        <is>
          <t>Ver saldo</t>
        </is>
      </c>
      <c r="E98" s="3" t="inlineStr">
        <is>
          <t>Cliente abre sección Saldo</t>
        </is>
      </c>
      <c r="F98" s="3" t="inlineStr"/>
      <c r="G98" s="4" t="inlineStr"/>
      <c r="H98" s="5" t="inlineStr"/>
      <c r="I98" s="4" t="inlineStr"/>
      <c r="J98" s="6" t="inlineStr"/>
      <c r="K98" s="5" t="inlineStr"/>
    </row>
    <row r="99">
      <c r="A99" s="7" t="inlineStr">
        <is>
          <t>CP-PAY-02</t>
        </is>
      </c>
      <c r="B99" s="8" t="inlineStr">
        <is>
          <t>Portal de pagos — Prepago (implementado; ver la sección Prepago en CLAUDE.md)</t>
        </is>
      </c>
      <c r="C99" s="7" t="inlineStr">
        <is>
          <t>Media</t>
        </is>
      </c>
      <c r="D99" s="8" t="inlineStr">
        <is>
          <t>Saldo precargado</t>
        </is>
      </c>
      <c r="E99" s="8" t="inlineStr">
        <is>
          <t>Login → entrar al portal</t>
        </is>
      </c>
      <c r="F99" s="8" t="inlineStr"/>
      <c r="G99" s="4" t="inlineStr"/>
      <c r="H99" s="5" t="inlineStr"/>
      <c r="I99" s="4" t="inlineStr"/>
      <c r="J99" s="6" t="inlineStr"/>
      <c r="K99" s="5" t="inlineStr"/>
    </row>
    <row r="100">
      <c r="A100" s="2" t="inlineStr">
        <is>
          <t>CP-PAY-03</t>
        </is>
      </c>
      <c r="B100" s="3" t="inlineStr">
        <is>
          <t>Portal de pagos — Prepago (implementado; ver la sección Prepago en CLAUDE.md)</t>
        </is>
      </c>
      <c r="C100" s="2" t="inlineStr">
        <is>
          <t>Media</t>
        </is>
      </c>
      <c r="D100" s="3" t="inlineStr">
        <is>
          <t>Historial (ledger)</t>
        </is>
      </c>
      <c r="E100" s="3" t="inlineStr">
        <is>
          <t>Ver movimientos</t>
        </is>
      </c>
      <c r="F100" s="3" t="inlineStr"/>
      <c r="G100" s="4" t="inlineStr"/>
      <c r="H100" s="5" t="inlineStr"/>
      <c r="I100" s="4" t="inlineStr"/>
      <c r="J100" s="6" t="inlineStr"/>
      <c r="K100" s="5" t="inlineStr"/>
    </row>
    <row r="101">
      <c r="A101" s="7" t="inlineStr">
        <is>
          <t>CP-PAY-04</t>
        </is>
      </c>
      <c r="B101" s="8" t="inlineStr">
        <is>
          <t>Portal de pagos — Prepago (implementado; ver la sección Prepago en CLAUDE.md)</t>
        </is>
      </c>
      <c r="C101" s="7" t="inlineStr">
        <is>
          <t>Alta</t>
        </is>
      </c>
      <c r="D101" s="8" t="inlineStr">
        <is>
          <t>Cliente registra solicitud</t>
        </is>
      </c>
      <c r="E101" s="8" t="inlineStr">
        <is>
          <t>Cliente: "Registrar recarga" → monto + banco/referencia + subir comprobante</t>
        </is>
      </c>
      <c r="F101" s="8" t="inlineStr"/>
      <c r="G101" s="4" t="inlineStr"/>
      <c r="H101" s="5" t="inlineStr"/>
      <c r="I101" s="4" t="inlineStr"/>
      <c r="J101" s="6" t="inlineStr"/>
      <c r="K101" s="5" t="inlineStr"/>
    </row>
    <row r="102">
      <c r="A102" s="2" t="inlineStr">
        <is>
          <t>CP-PAY-05</t>
        </is>
      </c>
      <c r="B102" s="3" t="inlineStr">
        <is>
          <t>Portal de pagos — Prepago (implementado; ver la sección Prepago en CLAUDE.md)</t>
        </is>
      </c>
      <c r="C102" s="2" t="inlineStr">
        <is>
          <t>Alta</t>
        </is>
      </c>
      <c r="D102" s="3" t="inlineStr">
        <is>
          <t>Admin aprueba</t>
        </is>
      </c>
      <c r="E102" s="3" t="inlineStr">
        <is>
          <t>Admin abre la bandeja, ve el comprobante, Aprobar</t>
        </is>
      </c>
      <c r="F102" s="3" t="inlineStr"/>
      <c r="G102" s="4" t="inlineStr"/>
      <c r="H102" s="5" t="inlineStr"/>
      <c r="I102" s="4" t="inlineStr"/>
      <c r="J102" s="6" t="inlineStr"/>
      <c r="K102" s="5" t="inlineStr"/>
    </row>
    <row r="103">
      <c r="A103" s="7" t="inlineStr">
        <is>
          <t>CP-PAY-06</t>
        </is>
      </c>
      <c r="B103" s="8" t="inlineStr">
        <is>
          <t>Portal de pagos — Prepago (implementado; ver la sección Prepago en CLAUDE.md)</t>
        </is>
      </c>
      <c r="C103" s="7" t="inlineStr">
        <is>
          <t>Alta</t>
        </is>
      </c>
      <c r="D103" s="8" t="inlineStr">
        <is>
          <t>Admin rechaza</t>
        </is>
      </c>
      <c r="E103" s="8" t="inlineStr">
        <is>
          <t>Admin Rechazar con motivo</t>
        </is>
      </c>
      <c r="F103" s="8" t="inlineStr"/>
      <c r="G103" s="4" t="inlineStr"/>
      <c r="H103" s="5" t="inlineStr"/>
      <c r="I103" s="4" t="inlineStr"/>
      <c r="J103" s="6" t="inlineStr"/>
      <c r="K103" s="5" t="inlineStr"/>
    </row>
    <row r="104">
      <c r="A104" s="2" t="inlineStr">
        <is>
          <t>CP-PAY-07b</t>
        </is>
      </c>
      <c r="B104" s="3" t="inlineStr">
        <is>
          <t>Portal de pagos — Prepago (implementado; ver la sección Prepago en CLAUDE.md)</t>
        </is>
      </c>
      <c r="C104" s="2" t="inlineStr">
        <is>
          <t>Alta</t>
        </is>
      </c>
      <c r="D104" s="3" t="inlineStr">
        <is>
          <t>Idempotencia aprobar</t>
        </is>
      </c>
      <c r="E104" s="3" t="inlineStr">
        <is>
          <t>Aprobar la misma solicitud dos veces (doble clic)</t>
        </is>
      </c>
      <c r="F104" s="3" t="inlineStr"/>
      <c r="G104" s="4" t="inlineStr"/>
      <c r="H104" s="5" t="inlineStr"/>
      <c r="I104" s="4" t="inlineStr"/>
      <c r="J104" s="6" t="inlineStr"/>
      <c r="K104" s="5" t="inlineStr"/>
    </row>
    <row r="105">
      <c r="A105" s="7" t="inlineStr">
        <is>
          <t>CP-PAY-08b</t>
        </is>
      </c>
      <c r="B105" s="8" t="inlineStr">
        <is>
          <t>Portal de pagos — Prepago (implementado; ver la sección Prepago en CLAUDE.md)</t>
        </is>
      </c>
      <c r="C105" s="7" t="inlineStr">
        <is>
          <t>Media</t>
        </is>
      </c>
      <c r="D105" s="8" t="inlineStr">
        <is>
          <t>Cliente ve el estado</t>
        </is>
      </c>
      <c r="E105" s="8" t="inlineStr">
        <is>
          <t>Cliente revisa su historial tras aprobación/rechazo</t>
        </is>
      </c>
      <c r="F105" s="8" t="inlineStr"/>
      <c r="G105" s="4" t="inlineStr"/>
      <c r="H105" s="5" t="inlineStr"/>
      <c r="I105" s="4" t="inlineStr"/>
      <c r="J105" s="6" t="inlineStr"/>
      <c r="K105" s="5" t="inlineStr"/>
    </row>
    <row r="106">
      <c r="A106" s="2" t="inlineStr">
        <is>
          <t>CP-PAY-09b</t>
        </is>
      </c>
      <c r="B106" s="3" t="inlineStr">
        <is>
          <t>Portal de pagos — Prepago (implementado; ver la sección Prepago en CLAUDE.md)</t>
        </is>
      </c>
      <c r="C106" s="2" t="inlineStr">
        <is>
          <t>Media</t>
        </is>
      </c>
      <c r="D106" s="3" t="inlineStr">
        <is>
          <t>Solo admin aprueba</t>
        </is>
      </c>
      <c r="E106" s="3" t="inlineStr">
        <is>
          <t>Cliente intenta aprobar/rechazar</t>
        </is>
      </c>
      <c r="F106" s="3" t="inlineStr"/>
      <c r="G106" s="4" t="inlineStr"/>
      <c r="H106" s="5" t="inlineStr"/>
      <c r="I106" s="4" t="inlineStr"/>
      <c r="J106" s="6" t="inlineStr"/>
      <c r="K106" s="5" t="inlineStr"/>
    </row>
    <row r="107">
      <c r="A107" s="7" t="inlineStr">
        <is>
          <t>CP-PAY-10b</t>
        </is>
      </c>
      <c r="B107" s="8" t="inlineStr">
        <is>
          <t>Portal de pagos — Prepago (implementado; ver la sección Prepago en CLAUDE.md)</t>
        </is>
      </c>
      <c r="C107" s="7" t="inlineStr">
        <is>
          <t>Baja</t>
        </is>
      </c>
      <c r="D107" s="8" t="inlineStr">
        <is>
          <t>Comprobante obligatorio / monto inválido</t>
        </is>
      </c>
      <c r="E107" s="8" t="inlineStr">
        <is>
          <t>Solicitud sin comprobante o monto 0/negativo</t>
        </is>
      </c>
      <c r="F107" s="8" t="inlineStr"/>
      <c r="G107" s="4" t="inlineStr"/>
      <c r="H107" s="5" t="inlineStr"/>
      <c r="I107" s="4" t="inlineStr"/>
      <c r="J107" s="6" t="inlineStr"/>
      <c r="K107" s="5" t="inlineStr"/>
    </row>
    <row r="108">
      <c r="A108" s="2" t="inlineStr">
        <is>
          <t>CP-PAY-07</t>
        </is>
      </c>
      <c r="B108" s="3" t="inlineStr">
        <is>
          <t>Portal de pagos — Prepago (implementado; ver la sección Prepago en CLAUDE.md)</t>
        </is>
      </c>
      <c r="C108" s="2" t="inlineStr">
        <is>
          <t>Alta</t>
        </is>
      </c>
      <c r="D108" s="3" t="inlineStr">
        <is>
          <t>Iniciar recarga</t>
        </is>
      </c>
      <c r="E108" s="3" t="inlineStr">
        <is>
          <t>Cliente pide recargar $X</t>
        </is>
      </c>
      <c r="F108" s="3" t="inlineStr"/>
      <c r="G108" s="4" t="inlineStr"/>
      <c r="H108" s="5" t="inlineStr"/>
      <c r="I108" s="4" t="inlineStr"/>
      <c r="J108" s="6" t="inlineStr"/>
      <c r="K108" s="5" t="inlineStr"/>
    </row>
    <row r="109">
      <c r="A109" s="7" t="inlineStr">
        <is>
          <t>CP-PAY-08</t>
        </is>
      </c>
      <c r="B109" s="8" t="inlineStr">
        <is>
          <t>Portal de pagos — Prepago (implementado; ver la sección Prepago en CLAUDE.md)</t>
        </is>
      </c>
      <c r="C109" s="7" t="inlineStr">
        <is>
          <t>Alta</t>
        </is>
      </c>
      <c r="D109" s="8" t="inlineStr">
        <is>
          <t>Pago aprobado (webhook)</t>
        </is>
      </c>
      <c r="E109" s="8" t="inlineStr">
        <is>
          <t>Wompi envía webhook APPROVED con firma válida</t>
        </is>
      </c>
      <c r="F109" s="8" t="inlineStr"/>
      <c r="G109" s="4" t="inlineStr"/>
      <c r="H109" s="5" t="inlineStr"/>
      <c r="I109" s="4" t="inlineStr"/>
      <c r="J109" s="6" t="inlineStr"/>
      <c r="K109" s="5" t="inlineStr"/>
    </row>
    <row r="110">
      <c r="A110" s="2" t="inlineStr">
        <is>
          <t>CP-PAY-09</t>
        </is>
      </c>
      <c r="B110" s="3" t="inlineStr">
        <is>
          <t>Portal de pagos — Prepago (implementado; ver la sección Prepago en CLAUDE.md)</t>
        </is>
      </c>
      <c r="C110" s="2" t="inlineStr">
        <is>
          <t>Alta</t>
        </is>
      </c>
      <c r="D110" s="3" t="inlineStr">
        <is>
          <t>Idempotencia webhook</t>
        </is>
      </c>
      <c r="E110" s="3" t="inlineStr">
        <is>
          <t>Reenviar el mismo webhook aprobado</t>
        </is>
      </c>
      <c r="F110" s="3" t="inlineStr"/>
      <c r="G110" s="4" t="inlineStr"/>
      <c r="H110" s="5" t="inlineStr"/>
      <c r="I110" s="4" t="inlineStr"/>
      <c r="J110" s="6" t="inlineStr"/>
      <c r="K110" s="5" t="inlineStr"/>
    </row>
    <row r="111">
      <c r="A111" s="7" t="inlineStr">
        <is>
          <t>CP-PAY-10</t>
        </is>
      </c>
      <c r="B111" s="8" t="inlineStr">
        <is>
          <t>Portal de pagos — Prepago (implementado; ver la sección Prepago en CLAUDE.md)</t>
        </is>
      </c>
      <c r="C111" s="7" t="inlineStr">
        <is>
          <t>Alta</t>
        </is>
      </c>
      <c r="D111" s="8" t="inlineStr">
        <is>
          <t>Firma inválida</t>
        </is>
      </c>
      <c r="E111" s="8" t="inlineStr">
        <is>
          <t>Webhook con checksum errado</t>
        </is>
      </c>
      <c r="F111" s="8" t="inlineStr"/>
      <c r="G111" s="4" t="inlineStr"/>
      <c r="H111" s="5" t="inlineStr"/>
      <c r="I111" s="4" t="inlineStr"/>
      <c r="J111" s="6" t="inlineStr"/>
      <c r="K111" s="5" t="inlineStr"/>
    </row>
    <row r="112">
      <c r="A112" s="2" t="inlineStr">
        <is>
          <t>CP-PAY-11</t>
        </is>
      </c>
      <c r="B112" s="3" t="inlineStr">
        <is>
          <t>Portal de pagos — Prepago (implementado; ver la sección Prepago en CLAUDE.md)</t>
        </is>
      </c>
      <c r="C112" s="2" t="inlineStr">
        <is>
          <t>Media</t>
        </is>
      </c>
      <c r="D112" s="3" t="inlineStr">
        <is>
          <t>Pago rechazado</t>
        </is>
      </c>
      <c r="E112" s="3" t="inlineStr">
        <is>
          <t>Webhook DECLINED</t>
        </is>
      </c>
      <c r="F112" s="3" t="inlineStr"/>
      <c r="G112" s="4" t="inlineStr"/>
      <c r="H112" s="5" t="inlineStr"/>
      <c r="I112" s="4" t="inlineStr"/>
      <c r="J112" s="6" t="inlineStr"/>
      <c r="K112" s="5" t="inlineStr"/>
    </row>
    <row r="113">
      <c r="A113" s="7" t="inlineStr">
        <is>
          <t>CP-PAY-12</t>
        </is>
      </c>
      <c r="B113" s="8" t="inlineStr">
        <is>
          <t>Portal de pagos — Prepago (implementado; ver la sección Prepago en CLAUDE.md)</t>
        </is>
      </c>
      <c r="C113" s="7" t="inlineStr">
        <is>
          <t>Alta</t>
        </is>
      </c>
      <c r="D113" s="8" t="inlineStr">
        <is>
          <t>No confiar en el redirect</t>
        </is>
      </c>
      <c r="E113" s="8" t="inlineStr">
        <is>
          <t>Manipular el redirect del navegador "como aprobado"</t>
        </is>
      </c>
      <c r="F113" s="8" t="inlineStr"/>
      <c r="G113" s="4" t="inlineStr"/>
      <c r="H113" s="5" t="inlineStr"/>
      <c r="I113" s="4" t="inlineStr"/>
      <c r="J113" s="6" t="inlineStr"/>
      <c r="K113" s="5" t="inlineStr"/>
    </row>
    <row r="114">
      <c r="A114" s="2" t="inlineStr">
        <is>
          <t>CP-PAY-13</t>
        </is>
      </c>
      <c r="B114" s="3" t="inlineStr">
        <is>
          <t>Portal de pagos — Prepago (implementado; ver la sección Prepago en CLAUDE.md)</t>
        </is>
      </c>
      <c r="C114" s="2" t="inlineStr">
        <is>
          <t>Baja</t>
        </is>
      </c>
      <c r="D114" s="3" t="inlineStr">
        <is>
          <t>Monto mínimo</t>
        </is>
      </c>
      <c r="E114" s="3" t="inlineStr">
        <is>
          <t>Recargar por debajo del mínimo (20.000)</t>
        </is>
      </c>
      <c r="F114" s="3" t="inlineStr"/>
      <c r="G114" s="4" t="inlineStr"/>
      <c r="H114" s="5" t="inlineStr"/>
      <c r="I114" s="4" t="inlineStr"/>
      <c r="J114" s="6" t="inlineStr"/>
      <c r="K114" s="5" t="inlineStr"/>
    </row>
    <row r="115">
      <c r="A115" s="7" t="inlineStr">
        <is>
          <t>CP-PAY-14</t>
        </is>
      </c>
      <c r="B115" s="8" t="inlineStr">
        <is>
          <t>Portal de pagos — Prepago (implementado; ver la sección Prepago en CLAUDE.md)</t>
        </is>
      </c>
      <c r="C115" s="7" t="inlineStr">
        <is>
          <t>Alta</t>
        </is>
      </c>
      <c r="D115" s="8" t="inlineStr">
        <is>
          <t>Débito con saldo suficiente</t>
        </is>
      </c>
      <c r="E115" s="8" t="inlineStr">
        <is>
          <t>Envío real con saldo ≥ costo</t>
        </is>
      </c>
      <c r="F115" s="8" t="inlineStr"/>
      <c r="G115" s="4" t="inlineStr"/>
      <c r="H115" s="5" t="inlineStr"/>
      <c r="I115" s="4" t="inlineStr"/>
      <c r="J115" s="6" t="inlineStr"/>
      <c r="K115" s="5" t="inlineStr"/>
    </row>
    <row r="116">
      <c r="A116" s="2" t="inlineStr">
        <is>
          <t>CP-PAY-15</t>
        </is>
      </c>
      <c r="B116" s="3" t="inlineStr">
        <is>
          <t>Portal de pagos — Prepago (implementado; ver la sección Prepago en CLAUDE.md)</t>
        </is>
      </c>
      <c r="C116" s="2" t="inlineStr">
        <is>
          <t>Alta</t>
        </is>
      </c>
      <c r="D116" s="3" t="inlineStr">
        <is>
          <t>Bloqueo por saldo insuficiente</t>
        </is>
      </c>
      <c r="E116" s="3" t="inlineStr">
        <is>
          <t>Envío real con saldo &lt; costo</t>
        </is>
      </c>
      <c r="F116" s="3" t="inlineStr"/>
      <c r="G116" s="4" t="inlineStr"/>
      <c r="H116" s="5" t="inlineStr"/>
      <c r="I116" s="4" t="inlineStr"/>
      <c r="J116" s="6" t="inlineStr"/>
      <c r="K116" s="5" t="inlineStr"/>
    </row>
    <row r="117">
      <c r="A117" s="7" t="inlineStr">
        <is>
          <t>CP-PAY-16</t>
        </is>
      </c>
      <c r="B117" s="8" t="inlineStr">
        <is>
          <t>Portal de pagos — Prepago (implementado; ver la sección Prepago en CLAUDE.md)</t>
        </is>
      </c>
      <c r="C117" s="7" t="inlineStr">
        <is>
          <t>Alta</t>
        </is>
      </c>
      <c r="D117" s="8" t="inlineStr">
        <is>
          <t>UI bloquea + backend bloquea</t>
        </is>
      </c>
      <c r="E117" s="8" t="inlineStr">
        <is>
          <t>Con saldo &lt; costo, ver el botón "Enviar real"</t>
        </is>
      </c>
      <c r="F117" s="8" t="inlineStr"/>
      <c r="G117" s="4" t="inlineStr"/>
      <c r="H117" s="5" t="inlineStr"/>
      <c r="I117" s="4" t="inlineStr"/>
      <c r="J117" s="6" t="inlineStr"/>
      <c r="K117" s="5" t="inlineStr"/>
    </row>
    <row r="118">
      <c r="A118" s="2" t="inlineStr">
        <is>
          <t>CP-PAY-17</t>
        </is>
      </c>
      <c r="B118" s="3" t="inlineStr">
        <is>
          <t>Portal de pagos — Prepago (implementado; ver la sección Prepago en CLAUDE.md)</t>
        </is>
      </c>
      <c r="C118" s="2" t="inlineStr">
        <is>
          <t>Alta</t>
        </is>
      </c>
      <c r="D118" s="3" t="inlineStr">
        <is>
          <t>No doble cobro (idempotencia)</t>
        </is>
      </c>
      <c r="E118" s="3" t="inlineStr">
        <is>
          <t>Reintento del mismo envío (AlreadySending)</t>
        </is>
      </c>
      <c r="F118" s="3" t="inlineStr"/>
      <c r="G118" s="4" t="inlineStr"/>
      <c r="H118" s="5" t="inlineStr"/>
      <c r="I118" s="4" t="inlineStr"/>
      <c r="J118" s="6" t="inlineStr"/>
      <c r="K118" s="5" t="inlineStr"/>
    </row>
    <row r="119">
      <c r="A119" s="7" t="inlineStr">
        <is>
          <t>CP-PAY-18</t>
        </is>
      </c>
      <c r="B119" s="8" t="inlineStr">
        <is>
          <t>Portal de pagos — Prepago (implementado; ver la sección Prepago en CLAUDE.md)</t>
        </is>
      </c>
      <c r="C119" s="7" t="inlineStr">
        <is>
          <t>Alta</t>
        </is>
      </c>
      <c r="D119" s="8" t="inlineStr">
        <is>
          <t>Concurrencia sin saldo negativo</t>
        </is>
      </c>
      <c r="E119" s="8" t="inlineStr">
        <is>
          <t>Dos campañas del mismo cliente casi simultáneas con saldo justo para una</t>
        </is>
      </c>
      <c r="F119" s="8" t="inlineStr"/>
      <c r="G119" s="4" t="inlineStr"/>
      <c r="H119" s="5" t="inlineStr"/>
      <c r="I119" s="4" t="inlineStr"/>
      <c r="J119" s="6" t="inlineStr"/>
      <c r="K119" s="5" t="inlineStr"/>
    </row>
    <row r="120">
      <c r="A120" s="2" t="inlineStr">
        <is>
          <t>CP-PAY-19</t>
        </is>
      </c>
      <c r="B120" s="3" t="inlineStr">
        <is>
          <t>Portal de pagos — Prepago (implementado; ver la sección Prepago en CLAUDE.md)</t>
        </is>
      </c>
      <c r="C120" s="2" t="inlineStr">
        <is>
          <t>Media</t>
        </is>
      </c>
      <c r="D120" s="3" t="inlineStr">
        <is>
          <t>Compensación por fallo</t>
        </is>
      </c>
      <c r="E120" s="3" t="inlineStr">
        <is>
          <t>Débito OK pero el troceo/encolado falla</t>
        </is>
      </c>
      <c r="F120" s="3" t="inlineStr"/>
      <c r="G120" s="4" t="inlineStr"/>
      <c r="H120" s="5" t="inlineStr"/>
      <c r="I120" s="4" t="inlineStr"/>
      <c r="J120" s="6" t="inlineStr"/>
      <c r="K120" s="5" t="inlineStr"/>
    </row>
    <row r="121">
      <c r="A121" s="7" t="inlineStr">
        <is>
          <t>CP-PAY-20</t>
        </is>
      </c>
      <c r="B121" s="8" t="inlineStr">
        <is>
          <t>Portal de pagos — Prepago (implementado; ver la sección Prepago en CLAUDE.md)</t>
        </is>
      </c>
      <c r="C121" s="7" t="inlineStr">
        <is>
          <t>Media</t>
        </is>
      </c>
      <c r="D121" s="8" t="inlineStr">
        <is>
          <t>Muestras no debitan</t>
        </is>
      </c>
      <c r="E121" s="8" t="inlineStr">
        <is>
          <t>Enviar muestras</t>
        </is>
      </c>
      <c r="F121" s="8" t="inlineStr"/>
      <c r="G121" s="4" t="inlineStr"/>
      <c r="H121" s="5" t="inlineStr"/>
      <c r="I121" s="4" t="inlineStr"/>
      <c r="J121" s="6" t="inlineStr"/>
      <c r="K121" s="5" t="inlineStr"/>
    </row>
    <row r="122">
      <c r="A122" s="2" t="inlineStr">
        <is>
          <t>CP-PAY-21</t>
        </is>
      </c>
      <c r="B122" s="3" t="inlineStr">
        <is>
          <t>Portal de pagos — Prepago (implementado; ver la sección Prepago en CLAUDE.md)</t>
        </is>
      </c>
      <c r="C122" s="2" t="inlineStr">
        <is>
          <t>Media</t>
        </is>
      </c>
      <c r="D122" s="3" t="inlineStr">
        <is>
          <t>Mínimo por campaña</t>
        </is>
      </c>
      <c r="E122" s="3" t="inlineStr">
        <is>
          <t>Envío chico por debajo de minCampaign</t>
        </is>
      </c>
      <c r="F122" s="3" t="inlineStr"/>
      <c r="G122" s="4" t="inlineStr"/>
      <c r="H122" s="5" t="inlineStr"/>
      <c r="I122" s="4" t="inlineStr"/>
      <c r="J122" s="6" t="inlineStr"/>
      <c r="K122" s="5" t="inlineStr"/>
    </row>
    <row r="123">
      <c r="A123" s="7" t="inlineStr">
        <is>
          <t>CP-PAY-22</t>
        </is>
      </c>
      <c r="B123" s="8" t="inlineStr">
        <is>
          <t>Portal de pagos — Prepago (implementado; ver la sección Prepago en CLAUDE.md)</t>
        </is>
      </c>
      <c r="C123" s="7" t="inlineStr">
        <is>
          <t>Baja</t>
        </is>
      </c>
      <c r="D123" s="8" t="inlineStr">
        <is>
          <t>Costo consistente con estimador</t>
        </is>
      </c>
      <c r="E123" s="8" t="inlineStr">
        <is>
          <t>Comparar el débito con lo que mostró CostEstimate</t>
        </is>
      </c>
      <c r="F123" s="8" t="inlineStr"/>
      <c r="G123" s="4" t="inlineStr"/>
      <c r="H123" s="5" t="inlineStr"/>
      <c r="I123" s="4" t="inlineStr"/>
      <c r="J123" s="6" t="inlineStr"/>
      <c r="K123" s="5" t="inlineStr"/>
    </row>
    <row r="124">
      <c r="A124" s="2" t="inlineStr">
        <is>
          <t>CP-HTML-01</t>
        </is>
      </c>
      <c r="B124" s="3" t="inlineStr">
        <is>
          <t>Constructor de correos HTML</t>
        </is>
      </c>
      <c r="C124" s="2" t="inlineStr">
        <is>
          <t>Alta</t>
        </is>
      </c>
      <c r="D124" s="3" t="inlineStr">
        <is>
          <t>Texto enriquecido en el lienzo</t>
        </is>
      </c>
      <c r="E124" s="3" t="inlineStr">
        <is>
          <t>Escribir en un bloque de texto y aplicar negrita, cursiva, color y tamaño desde la barra flotante</t>
        </is>
      </c>
      <c r="F124" s="3" t="inlineStr"/>
      <c r="G124" s="4" t="inlineStr"/>
      <c r="H124" s="5" t="inlineStr"/>
      <c r="I124" s="4" t="inlineStr"/>
      <c r="J124" s="6" t="inlineStr"/>
      <c r="K124" s="5" t="inlineStr"/>
    </row>
    <row r="125">
      <c r="A125" s="7" t="inlineStr">
        <is>
          <t>CP-HTML-02</t>
        </is>
      </c>
      <c r="B125" s="8" t="inlineStr">
        <is>
          <t>Constructor de correos HTML</t>
        </is>
      </c>
      <c r="C125" s="7" t="inlineStr">
        <is>
          <t>Alta</t>
        </is>
      </c>
      <c r="D125" s="8" t="inlineStr">
        <is>
          <t>El cursor no salta al inicio</t>
        </is>
      </c>
      <c r="E125" s="8" t="inlineStr">
        <is>
          <t>Poner el cursor al FINAL de un texto existente y escribir 5-6 caracteres</t>
        </is>
      </c>
      <c r="F125" s="8" t="inlineStr"/>
      <c r="G125" s="4" t="inlineStr"/>
      <c r="H125" s="5" t="inlineStr"/>
      <c r="I125" s="4" t="inlineStr"/>
      <c r="J125" s="6" t="inlineStr"/>
      <c r="K125" s="5" t="inlineStr"/>
    </row>
    <row r="126">
      <c r="A126" s="2" t="inlineStr">
        <is>
          <t>CP-HTML-03</t>
        </is>
      </c>
      <c r="B126" s="3" t="inlineStr">
        <is>
          <t>Constructor de correos HTML</t>
        </is>
      </c>
      <c r="C126" s="2" t="inlineStr">
        <is>
          <t>Alta</t>
        </is>
      </c>
      <c r="D126" s="3" t="inlineStr">
        <is>
          <t>Pegado como texto plano</t>
        </is>
      </c>
      <c r="E126" s="3" t="inlineStr">
        <is>
          <t>Copiar un párrafo con formato desde Word y pegarlo en un bloque</t>
        </is>
      </c>
      <c r="F126" s="3" t="inlineStr"/>
      <c r="G126" s="4" t="inlineStr"/>
      <c r="H126" s="5" t="inlineStr"/>
      <c r="I126" s="4" t="inlineStr"/>
      <c r="J126" s="6" t="inlineStr"/>
      <c r="K126" s="5" t="inlineStr"/>
    </row>
    <row r="127">
      <c r="A127" s="7" t="inlineStr">
        <is>
          <t>CP-HTML-04</t>
        </is>
      </c>
      <c r="B127" s="8" t="inlineStr">
        <is>
          <t>Constructor de correos HTML</t>
        </is>
      </c>
      <c r="C127" s="7" t="inlineStr">
        <is>
          <t>Alta</t>
        </is>
      </c>
      <c r="D127" s="8" t="inlineStr">
        <is>
          <t>Saneamiento del HTML crudo</t>
        </is>
      </c>
      <c r="E127" s="8" t="inlineStr">
        <is>
          <t>Pegar &lt;script&gt;alert(1)&lt;/script&gt;&lt;p&gt;ok&lt;/p&gt; en un bloque de HTML crudo</t>
        </is>
      </c>
      <c r="F127" s="8" t="inlineStr"/>
      <c r="G127" s="4" t="inlineStr"/>
      <c r="H127" s="5" t="inlineStr"/>
      <c r="I127" s="4" t="inlineStr"/>
      <c r="J127" s="6" t="inlineStr"/>
      <c r="K127" s="5" t="inlineStr"/>
    </row>
    <row r="128">
      <c r="A128" s="2" t="inlineStr">
        <is>
          <t>CP-HTML-05</t>
        </is>
      </c>
      <c r="B128" s="3" t="inlineStr">
        <is>
          <t>Constructor de correos HTML</t>
        </is>
      </c>
      <c r="C128" s="2" t="inlineStr">
        <is>
          <t>Media</t>
        </is>
      </c>
      <c r="D128" s="3" t="inlineStr">
        <is>
          <t>Enlace dentro de un párrafo</t>
        </is>
      </c>
      <c r="E128" s="3" t="inlineStr">
        <is>
          <t>Seleccionar una palabra y aplicar "Insertar enlace"</t>
        </is>
      </c>
      <c r="F128" s="3" t="inlineStr"/>
      <c r="G128" s="4" t="inlineStr"/>
      <c r="H128" s="5" t="inlineStr"/>
      <c r="I128" s="4" t="inlineStr"/>
      <c r="J128" s="6" t="inlineStr"/>
      <c r="K128" s="5" t="inlineStr"/>
    </row>
    <row r="129">
      <c r="A129" s="7" t="inlineStr">
        <is>
          <t>CP-HTML-06</t>
        </is>
      </c>
      <c r="B129" s="8" t="inlineStr">
        <is>
          <t>Constructor de correos HTML</t>
        </is>
      </c>
      <c r="C129" s="7" t="inlineStr">
        <is>
          <t>Media</t>
        </is>
      </c>
      <c r="D129" s="8" t="inlineStr">
        <is>
          <t>Compatibilidad con plantillas viejas</t>
        </is>
      </c>
      <c r="E129" s="8" t="inlineStr">
        <is>
          <t>Cargar una plantilla guardada antes del texto enriquecido que contenga 5 &lt; 10</t>
        </is>
      </c>
      <c r="F129" s="8" t="inlineStr"/>
      <c r="G129" s="4" t="inlineStr"/>
      <c r="H129" s="5" t="inlineStr"/>
      <c r="I129" s="4" t="inlineStr"/>
      <c r="J129" s="6" t="inlineStr"/>
      <c r="K129" s="5" t="inlineStr"/>
    </row>
    <row r="130">
      <c r="A130" s="2" t="inlineStr">
        <is>
          <t>CP-HTML-07</t>
        </is>
      </c>
      <c r="B130" s="3" t="inlineStr">
        <is>
          <t>Constructor de correos HTML</t>
        </is>
      </c>
      <c r="C130" s="2" t="inlineStr">
        <is>
          <t>Alta</t>
        </is>
      </c>
      <c r="D130" s="3" t="inlineStr">
        <is>
          <t>Variables con valor por defecto</t>
        </is>
      </c>
      <c r="E130" s="3" t="inlineStr">
        <is>
          <t>Menú Variable → "Con valor por defecto" → campo nombre, respaldo "cliente"</t>
        </is>
      </c>
      <c r="F130" s="3" t="inlineStr"/>
      <c r="G130" s="4" t="inlineStr"/>
      <c r="H130" s="5" t="inlineStr"/>
      <c r="I130" s="4" t="inlineStr"/>
      <c r="J130" s="6" t="inlineStr"/>
      <c r="K130" s="5" t="inlineStr"/>
    </row>
    <row r="131">
      <c r="A131" s="7" t="inlineStr">
        <is>
          <t>CP-HTML-08</t>
        </is>
      </c>
      <c r="B131" s="8" t="inlineStr">
        <is>
          <t>Constructor de correos HTML</t>
        </is>
      </c>
      <c r="C131" s="7" t="inlineStr">
        <is>
          <t>Alta</t>
        </is>
      </c>
      <c r="D131" s="8" t="inlineStr">
        <is>
          <t>Variable con respaldo en envío REAL</t>
        </is>
      </c>
      <c r="E131" s="8" t="inlineStr">
        <is>
          <t>Publicar con esa variable y enviar una muestra a un registro con el campo VACÍO</t>
        </is>
      </c>
      <c r="F131" s="8" t="inlineStr"/>
      <c r="G131" s="4" t="inlineStr"/>
      <c r="H131" s="5" t="inlineStr"/>
      <c r="I131" s="4" t="inlineStr"/>
      <c r="J131" s="6" t="inlineStr"/>
      <c r="K131" s="5" t="inlineStr"/>
    </row>
    <row r="132">
      <c r="A132" s="2" t="inlineStr">
        <is>
          <t>CP-HTML-09</t>
        </is>
      </c>
      <c r="B132" s="3" t="inlineStr">
        <is>
          <t>Constructor de correos HTML</t>
        </is>
      </c>
      <c r="C132" s="2" t="inlineStr">
        <is>
          <t>Media</t>
        </is>
      </c>
      <c r="D132" s="3" t="inlineStr">
        <is>
          <t>Relleno, fondo y tamaño por bloque</t>
        </is>
      </c>
      <c r="E132" s="3" t="inlineStr">
        <is>
          <t>Configurar relleno vertical/horizontal, fondo y tamaño de fuente en un bloque</t>
        </is>
      </c>
      <c r="F132" s="3" t="inlineStr"/>
      <c r="G132" s="4" t="inlineStr"/>
      <c r="H132" s="5" t="inlineStr"/>
      <c r="I132" s="4" t="inlineStr"/>
      <c r="J132" s="6" t="inlineStr"/>
      <c r="K132" s="5" t="inlineStr"/>
    </row>
    <row r="133">
      <c r="A133" s="7" t="inlineStr">
        <is>
          <t>CP-HTML-10</t>
        </is>
      </c>
      <c r="B133" s="8" t="inlineStr">
        <is>
          <t>Constructor de correos HTML</t>
        </is>
      </c>
      <c r="C133" s="7" t="inlineStr">
        <is>
          <t>Media</t>
        </is>
      </c>
      <c r="D133" s="8" t="inlineStr">
        <is>
          <t>Imagen con enlace</t>
        </is>
      </c>
      <c r="E133" s="8" t="inlineStr">
        <is>
          <t>Bloque de imagen con "Enlace al hacer clic"</t>
        </is>
      </c>
      <c r="F133" s="8" t="inlineStr"/>
      <c r="G133" s="4" t="inlineStr"/>
      <c r="H133" s="5" t="inlineStr"/>
      <c r="I133" s="4" t="inlineStr"/>
      <c r="J133" s="6" t="inlineStr"/>
      <c r="K133" s="5" t="inlineStr"/>
    </row>
    <row r="134">
      <c r="A134" s="2" t="inlineStr">
        <is>
          <t>CP-HTML-11</t>
        </is>
      </c>
      <c r="B134" s="3" t="inlineStr">
        <is>
          <t>Constructor de correos HTML</t>
        </is>
      </c>
      <c r="C134" s="2" t="inlineStr">
        <is>
          <t>Alta</t>
        </is>
      </c>
      <c r="D134" s="3" t="inlineStr">
        <is>
          <t>Imagen vacía se omite</t>
        </is>
      </c>
      <c r="E134" s="3" t="inlineStr">
        <is>
          <t>Agregar bloque de imagen sin subir nada y publicar</t>
        </is>
      </c>
      <c r="F134" s="3" t="inlineStr"/>
      <c r="G134" s="4" t="inlineStr"/>
      <c r="H134" s="5" t="inlineStr"/>
      <c r="I134" s="4" t="inlineStr"/>
      <c r="J134" s="6" t="inlineStr"/>
      <c r="K134" s="5" t="inlineStr"/>
    </row>
    <row r="135">
      <c r="A135" s="7" t="inlineStr">
        <is>
          <t>CP-HTML-12</t>
        </is>
      </c>
      <c r="B135" s="8" t="inlineStr">
        <is>
          <t>Constructor de correos HTML</t>
        </is>
      </c>
      <c r="C135" s="7" t="inlineStr">
        <is>
          <t>Alta</t>
        </is>
      </c>
      <c r="D135" s="8" t="inlineStr">
        <is>
          <t>Columnas: slider 1-4</t>
        </is>
      </c>
      <c r="E135" s="8" t="inlineStr">
        <is>
          <t>Bloque de columnas → mover el slider y elegir distribución</t>
        </is>
      </c>
      <c r="F135" s="8" t="inlineStr"/>
      <c r="G135" s="4" t="inlineStr"/>
      <c r="H135" s="5" t="inlineStr"/>
      <c r="I135" s="4" t="inlineStr"/>
      <c r="J135" s="6" t="inlineStr"/>
      <c r="K135" s="5" t="inlineStr"/>
    </row>
    <row r="136">
      <c r="A136" s="2" t="inlineStr">
        <is>
          <t>CP-HTML-13</t>
        </is>
      </c>
      <c r="B136" s="3" t="inlineStr">
        <is>
          <t>Constructor de correos HTML</t>
        </is>
      </c>
      <c r="C136" s="2" t="inlineStr">
        <is>
          <t>Alta</t>
        </is>
      </c>
      <c r="D136" s="3" t="inlineStr">
        <is>
          <t>Soltar un bloque en el "+"</t>
        </is>
      </c>
      <c r="E136" s="3" t="inlineStr">
        <is>
          <t>Arrastrar un bloque de la paleta al "+" de una columna</t>
        </is>
      </c>
      <c r="F136" s="3" t="inlineStr"/>
      <c r="G136" s="4" t="inlineStr"/>
      <c r="H136" s="5" t="inlineStr"/>
      <c r="I136" s="4" t="inlineStr"/>
      <c r="J136" s="6" t="inlineStr"/>
      <c r="K136" s="5" t="inlineStr"/>
    </row>
    <row r="137">
      <c r="A137" s="7" t="inlineStr">
        <is>
          <t>CP-HTML-14</t>
        </is>
      </c>
      <c r="B137" s="8" t="inlineStr">
        <is>
          <t>Constructor de correos HTML</t>
        </is>
      </c>
      <c r="C137" s="7" t="inlineStr">
        <is>
          <t>Media</t>
        </is>
      </c>
      <c r="D137" s="8" t="inlineStr">
        <is>
          <t>Mover un bloque del lienzo a una columna</t>
        </is>
      </c>
      <c r="E137" s="8" t="inlineStr">
        <is>
          <t>Arrastrar un bloque ya existente al "+" de una celda</t>
        </is>
      </c>
      <c r="F137" s="8" t="inlineStr"/>
      <c r="G137" s="4" t="inlineStr"/>
      <c r="H137" s="5" t="inlineStr"/>
      <c r="I137" s="4" t="inlineStr"/>
      <c r="J137" s="6" t="inlineStr"/>
      <c r="K137" s="5" t="inlineStr"/>
    </row>
    <row r="138">
      <c r="A138" s="2" t="inlineStr">
        <is>
          <t>CP-HTML-15</t>
        </is>
      </c>
      <c r="B138" s="3" t="inlineStr">
        <is>
          <t>Constructor de correos HTML</t>
        </is>
      </c>
      <c r="C138" s="2" t="inlineStr">
        <is>
          <t>Media</t>
        </is>
      </c>
      <c r="D138" s="3" t="inlineStr">
        <is>
          <t>Reducir columnas no borra contenido</t>
        </is>
      </c>
      <c r="E138" s="3" t="inlineStr">
        <is>
          <t>Con 3 columnas llenas, bajar el slider a 2</t>
        </is>
      </c>
      <c r="F138" s="3" t="inlineStr"/>
      <c r="G138" s="4" t="inlineStr"/>
      <c r="H138" s="5" t="inlineStr"/>
      <c r="I138" s="4" t="inlineStr"/>
      <c r="J138" s="6" t="inlineStr"/>
      <c r="K138" s="5" t="inlineStr"/>
    </row>
    <row r="139">
      <c r="A139" s="7" t="inlineStr">
        <is>
          <t>CP-HTML-16</t>
        </is>
      </c>
      <c r="B139" s="8" t="inlineStr">
        <is>
          <t>Constructor de correos HTML</t>
        </is>
      </c>
      <c r="C139" s="7" t="inlineStr">
        <is>
          <t>Media</t>
        </is>
      </c>
      <c r="D139" s="8" t="inlineStr">
        <is>
          <t>Bloques no anidables</t>
        </is>
      </c>
      <c r="E139" s="8" t="inlineStr">
        <is>
          <t>Intentar meter Columnas/Productos/Redes dentro de una celda</t>
        </is>
      </c>
      <c r="F139" s="8" t="inlineStr"/>
      <c r="G139" s="4" t="inlineStr"/>
      <c r="H139" s="5" t="inlineStr"/>
      <c r="I139" s="4" t="inlineStr"/>
      <c r="J139" s="6" t="inlineStr"/>
      <c r="K139" s="5" t="inlineStr"/>
    </row>
    <row r="140">
      <c r="A140" s="2" t="inlineStr">
        <is>
          <t>CP-HTML-17</t>
        </is>
      </c>
      <c r="B140" s="3" t="inlineStr">
        <is>
          <t>Constructor de correos HTML</t>
        </is>
      </c>
      <c r="C140" s="2" t="inlineStr">
        <is>
          <t>Media</t>
        </is>
      </c>
      <c r="D140" s="3" t="inlineStr">
        <is>
          <t>Zona final del lienzo</t>
        </is>
      </c>
      <c r="E140" s="3" t="inlineStr">
        <is>
          <t>Con varios bloques, usar el área punteada del final</t>
        </is>
      </c>
      <c r="F140" s="3" t="inlineStr"/>
      <c r="G140" s="4" t="inlineStr"/>
      <c r="H140" s="5" t="inlineStr"/>
      <c r="I140" s="4" t="inlineStr"/>
      <c r="J140" s="6" t="inlineStr"/>
      <c r="K140" s="5" t="inlineStr"/>
    </row>
    <row r="141">
      <c r="A141" s="7" t="inlineStr">
        <is>
          <t>CP-HTML-18</t>
        </is>
      </c>
      <c r="B141" s="8" t="inlineStr">
        <is>
          <t>Constructor de correos HTML</t>
        </is>
      </c>
      <c r="C141" s="7" t="inlineStr">
        <is>
          <t>Alta</t>
        </is>
      </c>
      <c r="D141" s="8" t="inlineStr">
        <is>
          <t>Modo oscuro</t>
        </is>
      </c>
      <c r="E141" s="8" t="inlineStr">
        <is>
          <t>Activar "Modo oscuro" en Ajustes y publicar</t>
        </is>
      </c>
      <c r="F141" s="8" t="inlineStr"/>
      <c r="G141" s="4" t="inlineStr"/>
      <c r="H141" s="5" t="inlineStr"/>
      <c r="I141" s="4" t="inlineStr"/>
      <c r="J141" s="6" t="inlineStr"/>
      <c r="K141" s="5" t="inlineStr"/>
    </row>
    <row r="142">
      <c r="A142" s="2" t="inlineStr">
        <is>
          <t>CP-HTML-19</t>
        </is>
      </c>
      <c r="B142" s="3" t="inlineStr">
        <is>
          <t>Constructor de correos HTML</t>
        </is>
      </c>
      <c r="C142" s="2" t="inlineStr">
        <is>
          <t>Alta</t>
        </is>
      </c>
      <c r="D142" s="3" t="inlineStr">
        <is>
          <t>Chequeo previo ("Revisar")</t>
        </is>
      </c>
      <c r="E142" s="3" t="inlineStr">
        <is>
          <t>Plantilla con imagen sin alt, enlace https:// y sin preheader</t>
        </is>
      </c>
      <c r="F142" s="3" t="inlineStr"/>
      <c r="G142" s="4" t="inlineStr"/>
      <c r="H142" s="5" t="inlineStr"/>
      <c r="I142" s="4" t="inlineStr"/>
      <c r="J142" s="6" t="inlineStr"/>
      <c r="K142" s="5" t="inlineStr"/>
    </row>
    <row r="143">
      <c r="A143" s="7" t="inlineStr">
        <is>
          <t>CP-HTML-20</t>
        </is>
      </c>
      <c r="B143" s="8" t="inlineStr">
        <is>
          <t>Constructor de correos HTML</t>
        </is>
      </c>
      <c r="C143" s="7" t="inlineStr">
        <is>
          <t>Alta</t>
        </is>
      </c>
      <c r="D143" s="8" t="inlineStr">
        <is>
          <t>Chequeo detecta gritos</t>
        </is>
      </c>
      <c r="E143" s="8" t="inlineStr">
        <is>
          <t>Escribir GRATIS!!! OFERTA!!! en el cuerpo → Revisar</t>
        </is>
      </c>
      <c r="F143" s="8" t="inlineStr"/>
      <c r="G143" s="4" t="inlineStr"/>
      <c r="H143" s="5" t="inlineStr"/>
      <c r="I143" s="4" t="inlineStr"/>
      <c r="J143" s="6" t="inlineStr"/>
      <c r="K143" s="5" t="inlineStr"/>
    </row>
    <row r="144">
      <c r="A144" s="2" t="inlineStr">
        <is>
          <t>CP-HTML-21</t>
        </is>
      </c>
      <c r="B144" s="3" t="inlineStr">
        <is>
          <t>Constructor de correos HTML</t>
        </is>
      </c>
      <c r="C144" s="2" t="inlineStr">
        <is>
          <t>Media</t>
        </is>
      </c>
      <c r="D144" s="3" t="inlineStr">
        <is>
          <t>Gritos en el preheader</t>
        </is>
      </c>
      <c r="E144" s="3" t="inlineStr">
        <is>
          <t>Poner ULTIMA OPORTUNIDAD como preheader → Revisar</t>
        </is>
      </c>
      <c r="F144" s="3" t="inlineStr"/>
      <c r="G144" s="4" t="inlineStr"/>
      <c r="H144" s="5" t="inlineStr"/>
      <c r="I144" s="4" t="inlineStr"/>
      <c r="J144" s="6" t="inlineStr"/>
      <c r="K144" s="5" t="inlineStr"/>
    </row>
    <row r="145">
      <c r="A145" s="7" t="inlineStr">
        <is>
          <t>CP-HTML-22</t>
        </is>
      </c>
      <c r="B145" s="8" t="inlineStr">
        <is>
          <t>Constructor de correos HTML</t>
        </is>
      </c>
      <c r="C145" s="7" t="inlineStr">
        <is>
          <t>Media</t>
        </is>
      </c>
      <c r="D145" s="8" t="inlineStr">
        <is>
          <t>Variables en mayúsculas NO son gritos</t>
        </is>
      </c>
      <c r="E145" s="8" t="inlineStr">
        <is>
          <t>Texto con {{NOMBRE}} y {{CIUDAD}} → Revisar</t>
        </is>
      </c>
      <c r="F145" s="8" t="inlineStr"/>
      <c r="G145" s="4" t="inlineStr"/>
      <c r="H145" s="5" t="inlineStr"/>
      <c r="I145" s="4" t="inlineStr"/>
      <c r="J145" s="6" t="inlineStr"/>
      <c r="K145" s="5" t="inlineStr"/>
    </row>
    <row r="146">
      <c r="A146" s="2" t="inlineStr">
        <is>
          <t>CP-HTML-23</t>
        </is>
      </c>
      <c r="B146" s="3" t="inlineStr">
        <is>
          <t>Constructor de correos HTML</t>
        </is>
      </c>
      <c r="C146" s="2" t="inlineStr">
        <is>
          <t>Media</t>
        </is>
      </c>
      <c r="D146" s="3" t="inlineStr">
        <is>
          <t>Peso &gt; 102 KB</t>
        </is>
      </c>
      <c r="E146" s="3" t="inlineStr">
        <is>
          <t>Plantilla muy pesada (mucho HTML crudo) → Revisar</t>
        </is>
      </c>
      <c r="F146" s="3" t="inlineStr"/>
      <c r="G146" s="4" t="inlineStr"/>
      <c r="H146" s="5" t="inlineStr"/>
      <c r="I146" s="4" t="inlineStr"/>
      <c r="J146" s="6" t="inlineStr"/>
      <c r="K146" s="5" t="inlineStr"/>
    </row>
    <row r="147">
      <c r="A147" s="7" t="inlineStr">
        <is>
          <t>CP-HTML-24</t>
        </is>
      </c>
      <c r="B147" s="8" t="inlineStr">
        <is>
          <t>Constructor de correos HTML</t>
        </is>
      </c>
      <c r="C147" s="7" t="inlineStr">
        <is>
          <t>Media</t>
        </is>
      </c>
      <c r="D147" s="8" t="inlineStr">
        <is>
          <t>Contraste bajo</t>
        </is>
      </c>
      <c r="E147" s="8" t="inlineStr">
        <is>
          <t>Texto gris muy claro sobre fondo blanco → Revisar</t>
        </is>
      </c>
      <c r="F147" s="8" t="inlineStr"/>
      <c r="G147" s="4" t="inlineStr"/>
      <c r="H147" s="5" t="inlineStr"/>
      <c r="I147" s="4" t="inlineStr"/>
      <c r="J147" s="6" t="inlineStr"/>
      <c r="K147" s="5" t="inlineStr"/>
    </row>
    <row r="148">
      <c r="A148" s="2" t="inlineStr">
        <is>
          <t>CP-HTML-25</t>
        </is>
      </c>
      <c r="B148" s="3" t="inlineStr">
        <is>
          <t>Constructor de correos HTML</t>
        </is>
      </c>
      <c r="C148" s="2" t="inlineStr">
        <is>
          <t>Media</t>
        </is>
      </c>
      <c r="D148" s="3" t="inlineStr">
        <is>
          <t>Texto menor a 14 px</t>
        </is>
      </c>
      <c r="E148" s="3" t="inlineStr">
        <is>
          <t>Bloque con tamaño 11 px → Revisar</t>
        </is>
      </c>
      <c r="F148" s="3" t="inlineStr"/>
      <c r="G148" s="4" t="inlineStr"/>
      <c r="H148" s="5" t="inlineStr"/>
      <c r="I148" s="4" t="inlineStr"/>
      <c r="J148" s="6" t="inlineStr"/>
      <c r="K148" s="5" t="inlineStr"/>
    </row>
    <row r="149">
      <c r="A149" s="7" t="inlineStr">
        <is>
          <t>CP-HTML-26</t>
        </is>
      </c>
      <c r="B149" s="8" t="inlineStr">
        <is>
          <t>Constructor de correos HTML</t>
        </is>
      </c>
      <c r="C149" s="7" t="inlineStr">
        <is>
          <t>Alta</t>
        </is>
      </c>
      <c r="D149" s="8" t="inlineStr">
        <is>
          <t>Enviarme una prueba</t>
        </is>
      </c>
      <c r="E149" s="8" t="inlineStr">
        <is>
          <t>Botón "Enviarme una prueba" con el correo del propio usuario</t>
        </is>
      </c>
      <c r="F149" s="8" t="inlineStr"/>
      <c r="G149" s="4" t="inlineStr"/>
      <c r="H149" s="5" t="inlineStr"/>
      <c r="I149" s="4" t="inlineStr"/>
      <c r="J149" s="6" t="inlineStr"/>
      <c r="K149" s="5" t="inlineStr"/>
    </row>
    <row r="150">
      <c r="A150" s="2" t="inlineStr">
        <is>
          <t>CP-HTML-27</t>
        </is>
      </c>
      <c r="B150" s="3" t="inlineStr">
        <is>
          <t>Constructor de correos HTML</t>
        </is>
      </c>
      <c r="C150" s="2" t="inlineStr">
        <is>
          <t>Alta</t>
        </is>
      </c>
      <c r="D150" s="3" t="inlineStr">
        <is>
          <t>Anti-relay de la prueba</t>
        </is>
      </c>
      <c r="E150" s="3" t="inlineStr">
        <is>
          <t>Intentar enviar la prueba a un correo que NO es de un usuario del tenant</t>
        </is>
      </c>
      <c r="F150" s="3" t="inlineStr"/>
      <c r="G150" s="4" t="inlineStr"/>
      <c r="H150" s="5" t="inlineStr"/>
      <c r="I150" s="4" t="inlineStr"/>
      <c r="J150" s="6" t="inlineStr"/>
      <c r="K150" s="5" t="inlineStr"/>
    </row>
    <row r="151">
      <c r="A151" s="7" t="inlineStr">
        <is>
          <t>CP-HTML-28</t>
        </is>
      </c>
      <c r="B151" s="8" t="inlineStr">
        <is>
          <t>Constructor de correos HTML</t>
        </is>
      </c>
      <c r="C151" s="7" t="inlineStr">
        <is>
          <t>Media</t>
        </is>
      </c>
      <c r="D151" s="8" t="inlineStr">
        <is>
          <t>Tope diario de pruebas</t>
        </is>
      </c>
      <c r="E151" s="8" t="inlineStr">
        <is>
          <t>Enviar pruebas por encima del límite diario</t>
        </is>
      </c>
      <c r="F151" s="8" t="inlineStr"/>
      <c r="G151" s="4" t="inlineStr"/>
      <c r="H151" s="5" t="inlineStr"/>
      <c r="I151" s="4" t="inlineStr"/>
      <c r="J151" s="6" t="inlineStr"/>
      <c r="K151" s="5" t="inlineStr"/>
    </row>
    <row r="152">
      <c r="A152" s="2" t="inlineStr">
        <is>
          <t>CP-HTML-29</t>
        </is>
      </c>
      <c r="B152" s="3" t="inlineStr">
        <is>
          <t>Constructor de correos HTML</t>
        </is>
      </c>
      <c r="C152" s="2" t="inlineStr">
        <is>
          <t>Alta</t>
        </is>
      </c>
      <c r="D152" s="3" t="inlineStr">
        <is>
          <t>Deshacer / rehacer</t>
        </is>
      </c>
      <c r="E152" s="3" t="inlineStr">
        <is>
          <t>Hacer varios cambios y usar Ctrl+Z / Ctrl+Shift+Z</t>
        </is>
      </c>
      <c r="F152" s="3" t="inlineStr"/>
      <c r="G152" s="4" t="inlineStr"/>
      <c r="H152" s="5" t="inlineStr"/>
      <c r="I152" s="4" t="inlineStr"/>
      <c r="J152" s="6" t="inlineStr"/>
      <c r="K152" s="5" t="inlineStr"/>
    </row>
    <row r="153">
      <c r="A153" s="7" t="inlineStr">
        <is>
          <t>CP-HTML-30</t>
        </is>
      </c>
      <c r="B153" s="8" t="inlineStr">
        <is>
          <t>Constructor de correos HTML</t>
        </is>
      </c>
      <c r="C153" s="7" t="inlineStr">
        <is>
          <t>Media</t>
        </is>
      </c>
      <c r="D153" s="8" t="inlineStr">
        <is>
          <t>Ctrl+Z no secuestra la escritura</t>
        </is>
      </c>
      <c r="E153" s="8" t="inlineStr">
        <is>
          <t>Estando dentro de un texto, pulsar Ctrl+Z</t>
        </is>
      </c>
      <c r="F153" s="8" t="inlineStr"/>
      <c r="G153" s="4" t="inlineStr"/>
      <c r="H153" s="5" t="inlineStr"/>
      <c r="I153" s="4" t="inlineStr"/>
      <c r="J153" s="6" t="inlineStr"/>
      <c r="K153" s="5" t="inlineStr"/>
    </row>
    <row r="154">
      <c r="A154" s="2" t="inlineStr">
        <is>
          <t>CP-HTML-31</t>
        </is>
      </c>
      <c r="B154" s="3" t="inlineStr">
        <is>
          <t>Constructor de correos HTML</t>
        </is>
      </c>
      <c r="C154" s="2" t="inlineStr">
        <is>
          <t>Alta</t>
        </is>
      </c>
      <c r="D154" s="3" t="inlineStr">
        <is>
          <t>Atajos: Supr no borra mientras se escribe</t>
        </is>
      </c>
      <c r="E154" s="3" t="inlineStr">
        <is>
          <t>Con el cursor dentro de un texto, borrar una letra con Supr/Retroceso</t>
        </is>
      </c>
      <c r="F154" s="3" t="inlineStr"/>
      <c r="G154" s="4" t="inlineStr"/>
      <c r="H154" s="5" t="inlineStr"/>
      <c r="I154" s="4" t="inlineStr"/>
      <c r="J154" s="6" t="inlineStr"/>
      <c r="K154" s="5" t="inlineStr"/>
    </row>
    <row r="155">
      <c r="A155" s="7" t="inlineStr">
        <is>
          <t>CP-HTML-32</t>
        </is>
      </c>
      <c r="B155" s="8" t="inlineStr">
        <is>
          <t>Constructor de correos HTML</t>
        </is>
      </c>
      <c r="C155" s="7" t="inlineStr">
        <is>
          <t>Media</t>
        </is>
      </c>
      <c r="D155" s="8" t="inlineStr">
        <is>
          <t>Atajos: duplicar y mover</t>
        </is>
      </c>
      <c r="E155" s="8" t="inlineStr">
        <is>
          <t>Seleccionar un bloque → Ctrl+D, Alt+↑, Alt+↓, Supr, Esc</t>
        </is>
      </c>
      <c r="F155" s="8" t="inlineStr"/>
      <c r="G155" s="4" t="inlineStr"/>
      <c r="H155" s="5" t="inlineStr"/>
      <c r="I155" s="4" t="inlineStr"/>
      <c r="J155" s="6" t="inlineStr"/>
      <c r="K155" s="5" t="inlineStr"/>
    </row>
    <row r="156">
      <c r="A156" s="2" t="inlineStr">
        <is>
          <t>CP-HTML-33</t>
        </is>
      </c>
      <c r="B156" s="3" t="inlineStr">
        <is>
          <t>Constructor de correos HTML</t>
        </is>
      </c>
      <c r="C156" s="2" t="inlineStr">
        <is>
          <t>Baja</t>
        </is>
      </c>
      <c r="D156" s="3" t="inlineStr">
        <is>
          <t>Lista de atajos visible</t>
        </is>
      </c>
      <c r="E156" s="3" t="inlineStr">
        <is>
          <t>Botón ⌨ de la barra</t>
        </is>
      </c>
      <c r="F156" s="3" t="inlineStr"/>
      <c r="G156" s="4" t="inlineStr"/>
      <c r="H156" s="5" t="inlineStr"/>
      <c r="I156" s="4" t="inlineStr"/>
      <c r="J156" s="6" t="inlineStr"/>
      <c r="K156" s="5" t="inlineStr"/>
    </row>
    <row r="157">
      <c r="A157" s="7" t="inlineStr">
        <is>
          <t>CP-HTML-34</t>
        </is>
      </c>
      <c r="B157" s="8" t="inlineStr">
        <is>
          <t>Constructor de correos HTML</t>
        </is>
      </c>
      <c r="C157" s="7" t="inlineStr">
        <is>
          <t>Media</t>
        </is>
      </c>
      <c r="D157" s="8" t="inlineStr">
        <is>
          <t>Autoguardado y recuperación</t>
        </is>
      </c>
      <c r="E157" s="8" t="inlineStr">
        <is>
          <t>Editar, cerrar la pestaña sin guardar y volver a entrar</t>
        </is>
      </c>
      <c r="F157" s="8" t="inlineStr"/>
      <c r="G157" s="4" t="inlineStr"/>
      <c r="H157" s="5" t="inlineStr"/>
      <c r="I157" s="4" t="inlineStr"/>
      <c r="J157" s="6" t="inlineStr"/>
      <c r="K157" s="5" t="inlineStr"/>
    </row>
    <row r="158">
      <c r="A158" s="2" t="inlineStr">
        <is>
          <t>CP-HTML-35</t>
        </is>
      </c>
      <c r="B158" s="3" t="inlineStr">
        <is>
          <t>Constructor de correos HTML</t>
        </is>
      </c>
      <c r="C158" s="2" t="inlineStr">
        <is>
          <t>Alta</t>
        </is>
      </c>
      <c r="D158" s="3" t="inlineStr">
        <is>
          <t>Guardar diseño en el backend</t>
        </is>
      </c>
      <c r="E158" s="3" t="inlineStr">
        <is>
          <t>"Guardar plantilla" con un nombre nuevo</t>
        </is>
      </c>
      <c r="F158" s="3" t="inlineStr"/>
      <c r="G158" s="4" t="inlineStr"/>
      <c r="H158" s="5" t="inlineStr"/>
      <c r="I158" s="4" t="inlineStr"/>
      <c r="J158" s="6" t="inlineStr"/>
      <c r="K158" s="5" t="inlineStr"/>
    </row>
    <row r="159">
      <c r="A159" s="7" t="inlineStr">
        <is>
          <t>CP-HTML-36</t>
        </is>
      </c>
      <c r="B159" s="8" t="inlineStr">
        <is>
          <t>Constructor de correos HTML</t>
        </is>
      </c>
      <c r="C159" s="7" t="inlineStr">
        <is>
          <t>Alta</t>
        </is>
      </c>
      <c r="D159" s="8" t="inlineStr">
        <is>
          <t>Guardar con nombre existente VERSIONA</t>
        </is>
      </c>
      <c r="E159" s="8" t="inlineStr">
        <is>
          <t>Guardar dos veces con el mismo nombre</t>
        </is>
      </c>
      <c r="F159" s="8" t="inlineStr"/>
      <c r="G159" s="4" t="inlineStr"/>
      <c r="H159" s="5" t="inlineStr"/>
      <c r="I159" s="4" t="inlineStr"/>
      <c r="J159" s="6" t="inlineStr"/>
      <c r="K159" s="5" t="inlineStr"/>
    </row>
    <row r="160">
      <c r="A160" s="2" t="inlineStr">
        <is>
          <t>CP-HTML-37</t>
        </is>
      </c>
      <c r="B160" s="3" t="inlineStr">
        <is>
          <t>Constructor de correos HTML</t>
        </is>
      </c>
      <c r="C160" s="2" t="inlineStr">
        <is>
          <t>Alta</t>
        </is>
      </c>
      <c r="D160" s="3" t="inlineStr">
        <is>
          <t>Restaurar una versión</t>
        </is>
      </c>
      <c r="E160" s="3" t="inlineStr">
        <is>
          <t>Galería → icono de historial → "Restaurar" en una versión anterior</t>
        </is>
      </c>
      <c r="F160" s="3" t="inlineStr"/>
      <c r="G160" s="4" t="inlineStr"/>
      <c r="H160" s="5" t="inlineStr"/>
      <c r="I160" s="4" t="inlineStr"/>
      <c r="J160" s="6" t="inlineStr"/>
      <c r="K160" s="5" t="inlineStr"/>
    </row>
    <row r="161">
      <c r="A161" s="7" t="inlineStr">
        <is>
          <t>CP-HTML-38</t>
        </is>
      </c>
      <c r="B161" s="8" t="inlineStr">
        <is>
          <t>Constructor de correos HTML</t>
        </is>
      </c>
      <c r="C161" s="7" t="inlineStr">
        <is>
          <t>Media</t>
        </is>
      </c>
      <c r="D161" s="8" t="inlineStr">
        <is>
          <t>Duplicar plantilla</t>
        </is>
      </c>
      <c r="E161" s="8" t="inlineStr">
        <is>
          <t>Galería → "Duplicar"</t>
        </is>
      </c>
      <c r="F161" s="8" t="inlineStr"/>
      <c r="G161" s="4" t="inlineStr"/>
      <c r="H161" s="5" t="inlineStr"/>
      <c r="I161" s="4" t="inlineStr"/>
      <c r="J161" s="6" t="inlineStr"/>
      <c r="K161" s="5" t="inlineStr"/>
    </row>
    <row r="162">
      <c r="A162" s="2" t="inlineStr">
        <is>
          <t>CP-HTML-39</t>
        </is>
      </c>
      <c r="B162" s="3" t="inlineStr">
        <is>
          <t>Constructor de correos HTML</t>
        </is>
      </c>
      <c r="C162" s="2" t="inlineStr">
        <is>
          <t>Media</t>
        </is>
      </c>
      <c r="D162" s="3" t="inlineStr">
        <is>
          <t>Tope de 10 versiones</t>
        </is>
      </c>
      <c r="E162" s="3" t="inlineStr">
        <is>
          <t>Guardar 12 veces con el mismo nombre</t>
        </is>
      </c>
      <c r="F162" s="3" t="inlineStr"/>
      <c r="G162" s="4" t="inlineStr"/>
      <c r="H162" s="5" t="inlineStr"/>
      <c r="I162" s="4" t="inlineStr"/>
      <c r="J162" s="6" t="inlineStr"/>
      <c r="K162" s="5" t="inlineStr"/>
    </row>
    <row r="163">
      <c r="A163" s="7" t="inlineStr">
        <is>
          <t>CP-HTML-40</t>
        </is>
      </c>
      <c r="B163" s="8" t="inlineStr">
        <is>
          <t>Constructor de correos HTML</t>
        </is>
      </c>
      <c r="C163" s="7" t="inlineStr">
        <is>
          <t>Alta</t>
        </is>
      </c>
      <c r="D163" s="8" t="inlineStr">
        <is>
          <t>Diseño de otro cliente</t>
        </is>
      </c>
      <c r="E163" s="8" t="inlineStr">
        <is>
          <t>Intentar versionar por id una plantilla de otra empresa</t>
        </is>
      </c>
      <c r="F163" s="8" t="inlineStr"/>
      <c r="G163" s="4" t="inlineStr"/>
      <c r="H163" s="5" t="inlineStr"/>
      <c r="I163" s="4" t="inlineStr"/>
      <c r="J163" s="6" t="inlineStr"/>
      <c r="K163" s="5" t="inlineStr"/>
    </row>
    <row r="164">
      <c r="A164" s="2" t="inlineStr">
        <is>
          <t>CP-HTML-41</t>
        </is>
      </c>
      <c r="B164" s="3" t="inlineStr">
        <is>
          <t>Constructor de correos HTML</t>
        </is>
      </c>
      <c r="C164" s="2" t="inlineStr">
        <is>
          <t>Alta</t>
        </is>
      </c>
      <c r="D164" s="3" t="inlineStr">
        <is>
          <t>UTM automático</t>
        </is>
      </c>
      <c r="E164" s="3" t="inlineStr">
        <is>
          <t>Activar UTM en Ajustes con campaña "julio" y publicar</t>
        </is>
      </c>
      <c r="F164" s="3" t="inlineStr"/>
      <c r="G164" s="4" t="inlineStr"/>
      <c r="H164" s="5" t="inlineStr"/>
      <c r="I164" s="4" t="inlineStr"/>
      <c r="J164" s="6" t="inlineStr"/>
      <c r="K164" s="5" t="inlineStr"/>
    </row>
    <row r="165">
      <c r="A165" s="7" t="inlineStr">
        <is>
          <t>CP-HTML-42</t>
        </is>
      </c>
      <c r="B165" s="8" t="inlineStr">
        <is>
          <t>Constructor de correos HTML</t>
        </is>
      </c>
      <c r="C165" s="7" t="inlineStr">
        <is>
          <t>Alta</t>
        </is>
      </c>
      <c r="D165" s="8" t="inlineStr">
        <is>
          <t>UTM no toca las variables</t>
        </is>
      </c>
      <c r="E165" s="8" t="inlineStr">
        <is>
          <t>Con UTM activo, revisar {{unsubscribeUrl}} en el HTML</t>
        </is>
      </c>
      <c r="F165" s="8" t="inlineStr"/>
      <c r="G165" s="4" t="inlineStr"/>
      <c r="H165" s="5" t="inlineStr"/>
      <c r="I165" s="4" t="inlineStr"/>
      <c r="J165" s="6" t="inlineStr"/>
      <c r="K165" s="5" t="inlineStr"/>
    </row>
    <row r="166">
      <c r="A166" s="2" t="inlineStr">
        <is>
          <t>CP-HTML-43</t>
        </is>
      </c>
      <c r="B166" s="3" t="inlineStr">
        <is>
          <t>Constructor de correos HTML</t>
        </is>
      </c>
      <c r="C166" s="2" t="inlineStr">
        <is>
          <t>Media</t>
        </is>
      </c>
      <c r="D166" s="3" t="inlineStr">
        <is>
          <t>UTM respeta lo escrito a mano</t>
        </is>
      </c>
      <c r="E166" s="3" t="inlineStr">
        <is>
          <t>Enlace que ya trae utm_source propio</t>
        </is>
      </c>
      <c r="F166" s="3" t="inlineStr"/>
      <c r="G166" s="4" t="inlineStr"/>
      <c r="H166" s="5" t="inlineStr"/>
      <c r="I166" s="4" t="inlineStr"/>
      <c r="J166" s="6" t="inlineStr"/>
      <c r="K166" s="5" t="inlineStr"/>
    </row>
    <row r="167">
      <c r="A167" s="7" t="inlineStr">
        <is>
          <t>CP-HTML-44</t>
        </is>
      </c>
      <c r="B167" s="8" t="inlineStr">
        <is>
          <t>Constructor de correos HTML</t>
        </is>
      </c>
      <c r="C167" s="7" t="inlineStr">
        <is>
          <t>Media</t>
        </is>
      </c>
      <c r="D167" s="8" t="inlineStr">
        <is>
          <t>Visibilidad por dispositivo</t>
        </is>
      </c>
      <c r="E167" s="8" t="inlineStr">
        <is>
          <t>Marcar un bloque "solo móvil" y otro "solo escritorio"</t>
        </is>
      </c>
      <c r="F167" s="8" t="inlineStr"/>
      <c r="G167" s="4" t="inlineStr"/>
      <c r="H167" s="5" t="inlineStr"/>
      <c r="I167" s="4" t="inlineStr"/>
      <c r="J167" s="6" t="inlineStr"/>
      <c r="K167" s="5" t="inlineStr"/>
    </row>
    <row r="168">
      <c r="A168" s="2" t="inlineStr">
        <is>
          <t>CP-HTML-45</t>
        </is>
      </c>
      <c r="B168" s="3" t="inlineStr">
        <is>
          <t>Constructor de correos HTML</t>
        </is>
      </c>
      <c r="C168" s="2" t="inlineStr">
        <is>
          <t>Media</t>
        </is>
      </c>
      <c r="D168" s="3" t="inlineStr">
        <is>
          <t>Botón de ancho completo</t>
        </is>
      </c>
      <c r="E168" s="3" t="inlineStr">
        <is>
          <t>Activar "ancho completo" + radio + tamaño</t>
        </is>
      </c>
      <c r="F168" s="3" t="inlineStr"/>
      <c r="G168" s="4" t="inlineStr"/>
      <c r="H168" s="5" t="inlineStr"/>
      <c r="I168" s="4" t="inlineStr"/>
      <c r="J168" s="6" t="inlineStr"/>
      <c r="K168" s="5" t="inlineStr"/>
    </row>
    <row r="169">
      <c r="A169" s="7" t="inlineStr">
        <is>
          <t>CP-HTML-46</t>
        </is>
      </c>
      <c r="B169" s="8" t="inlineStr">
        <is>
          <t>Constructor de correos HTML</t>
        </is>
      </c>
      <c r="C169" s="7" t="inlineStr">
        <is>
          <t>Media</t>
        </is>
      </c>
      <c r="D169" s="8" t="inlineStr">
        <is>
          <t>Vista de bandeja</t>
        </is>
      </c>
      <c r="E169" s="8" t="inlineStr">
        <is>
          <t>Vista previa → editar remitente/asunto/preheader ahí mismo</t>
        </is>
      </c>
      <c r="F169" s="8" t="inlineStr"/>
      <c r="G169" s="4" t="inlineStr"/>
      <c r="H169" s="5" t="inlineStr"/>
      <c r="I169" s="4" t="inlineStr"/>
      <c r="J169" s="6" t="inlineStr"/>
      <c r="K169" s="5" t="inlineStr"/>
    </row>
    <row r="170">
      <c r="A170" s="2" t="inlineStr">
        <is>
          <t>CP-HTML-47</t>
        </is>
      </c>
      <c r="B170" s="3" t="inlineStr">
        <is>
          <t>Constructor de correos HTML</t>
        </is>
      </c>
      <c r="C170" s="2" t="inlineStr">
        <is>
          <t>Alta</t>
        </is>
      </c>
      <c r="D170" s="3" t="inlineStr">
        <is>
          <t>Parte de TEXTO del correo</t>
        </is>
      </c>
      <c r="E170" s="3" t="inlineStr">
        <is>
          <t>Publicar un correo hecho a base de columnas y revisar la plantilla SES</t>
        </is>
      </c>
      <c r="F170" s="3" t="inlineStr"/>
      <c r="G170" s="4" t="inlineStr"/>
      <c r="H170" s="5" t="inlineStr"/>
      <c r="I170" s="4" t="inlineStr"/>
      <c r="J170" s="6" t="inlineStr"/>
      <c r="K170" s="5" t="inlineStr"/>
    </row>
    <row r="171">
      <c r="A171" s="7" t="inlineStr">
        <is>
          <t>CP-HTML-48</t>
        </is>
      </c>
      <c r="B171" s="8" t="inlineStr">
        <is>
          <t>Constructor de correos HTML</t>
        </is>
      </c>
      <c r="C171" s="7" t="inlineStr">
        <is>
          <t>Media</t>
        </is>
      </c>
      <c r="D171" s="8" t="inlineStr">
        <is>
          <t>Texto plano sin etiquetas</t>
        </is>
      </c>
      <c r="E171" s="8" t="inlineStr">
        <is>
          <t>Publicar con texto en negrita/enlaces</t>
        </is>
      </c>
      <c r="F171" s="8" t="inlineStr"/>
      <c r="G171" s="4" t="inlineStr"/>
      <c r="H171" s="5" t="inlineStr"/>
      <c r="I171" s="4" t="inlineStr"/>
      <c r="J171" s="6" t="inlineStr"/>
      <c r="K171" s="5" t="inlineStr"/>
    </row>
    <row r="172">
      <c r="A172" s="2" t="inlineStr">
        <is>
          <t>CP-HTML-49</t>
        </is>
      </c>
      <c r="B172" s="3" t="inlineStr">
        <is>
          <t>Constructor de correos HTML</t>
        </is>
      </c>
      <c r="C172" s="2" t="inlineStr">
        <is>
          <t>Alta</t>
        </is>
      </c>
      <c r="D172" s="3" t="inlineStr">
        <is>
          <t>Bloque de vídeo</t>
        </is>
      </c>
      <c r="E172" s="3" t="inlineStr">
        <is>
          <t>Bloque de vídeo con un enlace de YouTube</t>
        </is>
      </c>
      <c r="F172" s="3" t="inlineStr"/>
      <c r="G172" s="4" t="inlineStr"/>
      <c r="H172" s="5" t="inlineStr"/>
      <c r="I172" s="4" t="inlineStr"/>
      <c r="J172" s="6" t="inlineStr"/>
      <c r="K172" s="5" t="inlineStr"/>
    </row>
    <row r="173">
      <c r="A173" s="7" t="inlineStr">
        <is>
          <t>CP-HTML-50</t>
        </is>
      </c>
      <c r="B173" s="8" t="inlineStr">
        <is>
          <t>Constructor de correos HTML</t>
        </is>
      </c>
      <c r="C173" s="7" t="inlineStr">
        <is>
          <t>Media</t>
        </is>
      </c>
      <c r="D173" s="8" t="inlineStr">
        <is>
          <t>Vídeo de otra plataforma</t>
        </is>
      </c>
      <c r="E173" s="8" t="inlineStr">
        <is>
          <t>Enlace de Vimeo + miniatura subida a mano</t>
        </is>
      </c>
      <c r="F173" s="8" t="inlineStr"/>
      <c r="G173" s="4" t="inlineStr"/>
      <c r="H173" s="5" t="inlineStr"/>
      <c r="I173" s="4" t="inlineStr"/>
      <c r="J173" s="6" t="inlineStr"/>
      <c r="K173" s="5" t="inlineStr"/>
    </row>
    <row r="174">
      <c r="A174" s="2" t="inlineStr">
        <is>
          <t>CP-HTML-51</t>
        </is>
      </c>
      <c r="B174" s="3" t="inlineStr">
        <is>
          <t>Constructor de correos HTML</t>
        </is>
      </c>
      <c r="C174" s="2" t="inlineStr">
        <is>
          <t>Media</t>
        </is>
      </c>
      <c r="D174" s="3" t="inlineStr">
        <is>
          <t>Vídeo incompleto</t>
        </is>
      </c>
      <c r="E174" s="3" t="inlineStr">
        <is>
          <t>Bloque de vídeo sin enlace → Revisar y publicar</t>
        </is>
      </c>
      <c r="F174" s="3" t="inlineStr"/>
      <c r="G174" s="4" t="inlineStr"/>
      <c r="H174" s="5" t="inlineStr"/>
      <c r="I174" s="4" t="inlineStr"/>
      <c r="J174" s="6" t="inlineStr"/>
      <c r="K174" s="5" t="inlineStr"/>
    </row>
    <row r="175">
      <c r="A175" s="7" t="inlineStr">
        <is>
          <t>CP-HTML-52</t>
        </is>
      </c>
      <c r="B175" s="8" t="inlineStr">
        <is>
          <t>Constructor de correos HTML</t>
        </is>
      </c>
      <c r="C175" s="7" t="inlineStr">
        <is>
          <t>Media</t>
        </is>
      </c>
      <c r="D175" s="8" t="inlineStr">
        <is>
          <t>Redimensionar imagen arrastrando</t>
        </is>
      </c>
      <c r="E175" s="8" t="inlineStr">
        <is>
          <t>Arrastrar el tirador del borde de una imagen del lienzo</t>
        </is>
      </c>
      <c r="F175" s="8" t="inlineStr"/>
      <c r="G175" s="4" t="inlineStr"/>
      <c r="H175" s="5" t="inlineStr"/>
      <c r="I175" s="4" t="inlineStr"/>
      <c r="J175" s="6" t="inlineStr"/>
      <c r="K175" s="5" t="inlineStr"/>
    </row>
    <row r="176">
      <c r="A176" s="2" t="inlineStr">
        <is>
          <t>CP-HTML-53</t>
        </is>
      </c>
      <c r="B176" s="3" t="inlineStr">
        <is>
          <t>Constructor de correos HTML</t>
        </is>
      </c>
      <c r="C176" s="2" t="inlineStr">
        <is>
          <t>Alta</t>
        </is>
      </c>
      <c r="D176" s="3" t="inlineStr">
        <is>
          <t>Redes: un solo color de marca</t>
        </is>
      </c>
      <c r="E176" s="3" t="inlineStr">
        <is>
          <t>Bloque de redes → estilo "Un solo color" → pegar el hex de la marca</t>
        </is>
      </c>
      <c r="F176" s="3" t="inlineStr"/>
      <c r="G176" s="4" t="inlineStr"/>
      <c r="H176" s="5" t="inlineStr"/>
      <c r="I176" s="4" t="inlineStr"/>
      <c r="J176" s="6" t="inlineStr"/>
      <c r="K176" s="5" t="inlineStr"/>
    </row>
    <row r="177">
      <c r="A177" s="7" t="inlineStr">
        <is>
          <t>CP-HTML-54</t>
        </is>
      </c>
      <c r="B177" s="8" t="inlineStr">
        <is>
          <t>Constructor de correos HTML</t>
        </is>
      </c>
      <c r="C177" s="7" t="inlineStr">
        <is>
          <t>Media</t>
        </is>
      </c>
      <c r="D177" s="8" t="inlineStr">
        <is>
          <t>Hex a medio escribir</t>
        </is>
      </c>
      <c r="E177" s="8" t="inlineStr">
        <is>
          <t>Borrar el hex y teclear #00</t>
        </is>
      </c>
      <c r="F177" s="8" t="inlineStr"/>
      <c r="G177" s="4" t="inlineStr"/>
      <c r="H177" s="5" t="inlineStr"/>
      <c r="I177" s="4" t="inlineStr"/>
      <c r="J177" s="6" t="inlineStr"/>
      <c r="K177" s="5" t="inlineStr"/>
    </row>
    <row r="178">
      <c r="A178" s="2" t="inlineStr">
        <is>
          <t>CP-HTML-55</t>
        </is>
      </c>
      <c r="B178" s="3" t="inlineStr">
        <is>
          <t>Constructor de correos HTML</t>
        </is>
      </c>
      <c r="C178" s="2" t="inlineStr">
        <is>
          <t>Alta</t>
        </is>
      </c>
      <c r="D178" s="3" t="inlineStr">
        <is>
          <t>Alineación de las redes</t>
        </is>
      </c>
      <c r="E178" s="3" t="inlineStr">
        <is>
          <t>Alinear el bloque de redes a izquierda / derecha / centro</t>
        </is>
      </c>
      <c r="F178" s="3" t="inlineStr"/>
      <c r="G178" s="4" t="inlineStr"/>
      <c r="H178" s="5" t="inlineStr"/>
      <c r="I178" s="4" t="inlineStr"/>
      <c r="J178" s="6" t="inlineStr"/>
      <c r="K178" s="5" t="inlineStr"/>
    </row>
    <row r="179">
      <c r="A179" s="7" t="inlineStr">
        <is>
          <t>CP-HTML-56</t>
        </is>
      </c>
      <c r="B179" s="8" t="inlineStr">
        <is>
          <t>Constructor de correos HTML</t>
        </is>
      </c>
      <c r="C179" s="7" t="inlineStr">
        <is>
          <t>Media</t>
        </is>
      </c>
      <c r="D179" s="8" t="inlineStr">
        <is>
          <t>Forma de la insignia</t>
        </is>
      </c>
      <c r="E179" s="8" t="inlineStr">
        <is>
          <t>Cambiar entre círculo / cuadrado redondeado / cuadrado</t>
        </is>
      </c>
      <c r="F179" s="8" t="inlineStr"/>
      <c r="G179" s="4" t="inlineStr"/>
      <c r="H179" s="5" t="inlineStr"/>
      <c r="I179" s="4" t="inlineStr"/>
      <c r="J179" s="6" t="inlineStr"/>
      <c r="K179" s="5" t="inlineStr"/>
    </row>
    <row r="180">
      <c r="A180" s="2" t="inlineStr">
        <is>
          <t>CP-HTML-57</t>
        </is>
      </c>
      <c r="B180" s="3" t="inlineStr">
        <is>
          <t>Constructor de correos HTML</t>
        </is>
      </c>
      <c r="C180" s="2" t="inlineStr">
        <is>
          <t>Alta</t>
        </is>
      </c>
      <c r="D180" s="3" t="inlineStr">
        <is>
          <t>Logos reales de las redes</t>
        </is>
      </c>
      <c r="E180" s="3" t="inlineStr">
        <is>
          <t>"Usar los logos reales" → elegir colores → Aplicar</t>
        </is>
      </c>
      <c r="F180" s="3" t="inlineStr"/>
      <c r="G180" s="4" t="inlineStr"/>
      <c r="H180" s="5" t="inlineStr"/>
      <c r="I180" s="4" t="inlineStr"/>
      <c r="J180" s="6" t="inlineStr"/>
      <c r="K180" s="5" t="inlineStr"/>
    </row>
    <row r="181">
      <c r="A181" s="7" t="inlineStr">
        <is>
          <t>CP-HTML-58</t>
        </is>
      </c>
      <c r="B181" s="8" t="inlineStr">
        <is>
          <t>Constructor de correos HTML</t>
        </is>
      </c>
      <c r="C181" s="7" t="inlineStr">
        <is>
          <t>Media</t>
        </is>
      </c>
      <c r="D181" s="8" t="inlineStr">
        <is>
          <t>Recolor del paquete</t>
        </is>
      </c>
      <c r="E181" s="8" t="inlineStr">
        <is>
          <t>Cambiar el color del logo/fondo y ver la vista previa</t>
        </is>
      </c>
      <c r="F181" s="8" t="inlineStr"/>
      <c r="G181" s="4" t="inlineStr"/>
      <c r="H181" s="5" t="inlineStr"/>
      <c r="I181" s="4" t="inlineStr"/>
      <c r="J181" s="6" t="inlineStr"/>
      <c r="K181" s="5" t="inlineStr"/>
    </row>
    <row r="182">
      <c r="A182" s="2" t="inlineStr">
        <is>
          <t>CP-HTML-59</t>
        </is>
      </c>
      <c r="B182" s="3" t="inlineStr">
        <is>
          <t>Constructor de correos HTML</t>
        </is>
      </c>
      <c r="C182" s="2" t="inlineStr">
        <is>
          <t>Media</t>
        </is>
      </c>
      <c r="D182" s="3" t="inlineStr">
        <is>
          <t>Icono de una sola red</t>
        </is>
      </c>
      <c r="E182" s="3" t="inlineStr">
        <is>
          <t>Botón de imagen de una fila → elegir de "Mis imágenes"</t>
        </is>
      </c>
      <c r="F182" s="3" t="inlineStr"/>
      <c r="G182" s="4" t="inlineStr"/>
      <c r="H182" s="5" t="inlineStr"/>
      <c r="I182" s="4" t="inlineStr"/>
      <c r="J182" s="6" t="inlineStr"/>
      <c r="K182" s="5" t="inlineStr"/>
    </row>
    <row r="183">
      <c r="A183" s="7" t="inlineStr">
        <is>
          <t>CP-HTML-60</t>
        </is>
      </c>
      <c r="B183" s="8" t="inlineStr">
        <is>
          <t>Constructor de correos HTML</t>
        </is>
      </c>
      <c r="C183" s="7" t="inlineStr">
        <is>
          <t>Media</t>
        </is>
      </c>
      <c r="D183" s="8" t="inlineStr">
        <is>
          <t>Biblioteca de imágenes</t>
        </is>
      </c>
      <c r="E183" s="8" t="inlineStr">
        <is>
          <t>"Mis imágenes" en un bloque de imagen</t>
        </is>
      </c>
      <c r="F183" s="8" t="inlineStr"/>
      <c r="G183" s="4" t="inlineStr"/>
      <c r="H183" s="5" t="inlineStr"/>
      <c r="I183" s="4" t="inlineStr"/>
      <c r="J183" s="6" t="inlineStr"/>
      <c r="K183" s="5" t="inlineStr"/>
    </row>
    <row r="184">
      <c r="A184" s="2" t="inlineStr">
        <is>
          <t>CP-HTML-61</t>
        </is>
      </c>
      <c r="B184" s="3" t="inlineStr">
        <is>
          <t>Constructor de correos HTML</t>
        </is>
      </c>
      <c r="C184" s="2" t="inlineStr">
        <is>
          <t>Alta</t>
        </is>
      </c>
      <c r="D184" s="3" t="inlineStr">
        <is>
          <t>La biblioteca no expone datos privados</t>
        </is>
      </c>
      <c r="E184" s="3" t="inlineStr">
        <is>
          <t>Revisar el listado de "Mis imágenes"</t>
        </is>
      </c>
      <c r="F184" s="3" t="inlineStr"/>
      <c r="G184" s="4" t="inlineStr"/>
      <c r="H184" s="5" t="inlineStr"/>
      <c r="I184" s="4" t="inlineStr"/>
      <c r="J184" s="6" t="inlineStr"/>
      <c r="K184" s="5" t="inlineStr"/>
    </row>
    <row r="185">
      <c r="A185" s="7" t="inlineStr">
        <is>
          <t>CP-HTML-62</t>
        </is>
      </c>
      <c r="B185" s="8" t="inlineStr">
        <is>
          <t>Constructor de correos HTML</t>
        </is>
      </c>
      <c r="C185" s="7" t="inlineStr">
        <is>
          <t>Media</t>
        </is>
      </c>
      <c r="D185" s="8" t="inlineStr">
        <is>
          <t>Ventana de edición aparte</t>
        </is>
      </c>
      <c r="E185" s="8" t="inlineStr">
        <is>
          <t>Botón de pantalla completa (⛶)</t>
        </is>
      </c>
      <c r="F185" s="8" t="inlineStr"/>
      <c r="G185" s="4" t="inlineStr"/>
      <c r="H185" s="5" t="inlineStr"/>
      <c r="I185" s="4" t="inlineStr"/>
      <c r="J185" s="6" t="inlineStr"/>
      <c r="K185" s="5" t="inlineStr"/>
    </row>
    <row r="186">
      <c r="A186" s="2" t="inlineStr">
        <is>
          <t>CP-HTML-63</t>
        </is>
      </c>
      <c r="B186" s="3" t="inlineStr">
        <is>
          <t>Constructor de correos HTML</t>
        </is>
      </c>
      <c r="C186" s="2" t="inlineStr">
        <is>
          <t>Alta</t>
        </is>
      </c>
      <c r="D186" s="3" t="inlineStr">
        <is>
          <t>Scroll independiente por panel</t>
        </is>
      </c>
      <c r="E186" s="3" t="inlineStr">
        <is>
          <t>Con un correo largo, hacer scroll en el lienzo</t>
        </is>
      </c>
      <c r="F186" s="3" t="inlineStr"/>
      <c r="G186" s="4" t="inlineStr"/>
      <c r="H186" s="5" t="inlineStr"/>
      <c r="I186" s="4" t="inlineStr"/>
      <c r="J186" s="6" t="inlineStr"/>
      <c r="K186" s="5" t="inlineStr"/>
    </row>
    <row r="187">
      <c r="A187" s="7" t="inlineStr">
        <is>
          <t>CP-HTML-81</t>
        </is>
      </c>
      <c r="B187" s="8" t="inlineStr">
        <is>
          <t>Constructor de correos HTML</t>
        </is>
      </c>
      <c r="C187" s="7" t="inlineStr">
        <is>
          <t>Media</t>
        </is>
      </c>
      <c r="D187" s="8" t="inlineStr">
        <is>
          <t>Color del bloque de TEXTO</t>
        </is>
      </c>
      <c r="E187" s="8" t="inlineStr">
        <is>
          <t>Seleccionar un texto → "Color del texto"</t>
        </is>
      </c>
      <c r="F187" s="8" t="inlineStr"/>
      <c r="G187" s="4" t="inlineStr"/>
      <c r="H187" s="5" t="inlineStr"/>
      <c r="I187" s="4" t="inlineStr"/>
      <c r="J187" s="6" t="inlineStr"/>
      <c r="K187" s="5" t="inlineStr"/>
    </row>
    <row r="188">
      <c r="A188" s="2" t="inlineStr">
        <is>
          <t>CP-HTML-82</t>
        </is>
      </c>
      <c r="B188" s="3" t="inlineStr">
        <is>
          <t>Constructor de correos HTML</t>
        </is>
      </c>
      <c r="C188" s="2" t="inlineStr">
        <is>
          <t>Alta</t>
        </is>
      </c>
      <c r="D188" s="3" t="inlineStr">
        <is>
          <t>Logos reales por defecto</t>
        </is>
      </c>
      <c r="E188" s="3" t="inlineStr">
        <is>
          <t>Poner enlaces en 3 redes</t>
        </is>
      </c>
      <c r="F188" s="3" t="inlineStr"/>
      <c r="G188" s="4" t="inlineStr"/>
      <c r="H188" s="5" t="inlineStr"/>
      <c r="I188" s="4" t="inlineStr"/>
      <c r="J188" s="6" t="inlineStr"/>
      <c r="K188" s="5" t="inlineStr"/>
    </row>
    <row r="189">
      <c r="A189" s="7" t="inlineStr">
        <is>
          <t>CP-HTML-83</t>
        </is>
      </c>
      <c r="B189" s="8" t="inlineStr">
        <is>
          <t>Constructor de correos HTML</t>
        </is>
      </c>
      <c r="C189" s="7" t="inlineStr">
        <is>
          <t>Alta</t>
        </is>
      </c>
      <c r="D189" s="8" t="inlineStr">
        <is>
          <t>Colores de cada red sobre el logo real</t>
        </is>
      </c>
      <c r="E189" s="8" t="inlineStr">
        <is>
          <t>Estilo "Colores de cada red"</t>
        </is>
      </c>
      <c r="F189" s="8" t="inlineStr"/>
      <c r="G189" s="4" t="inlineStr"/>
      <c r="H189" s="5" t="inlineStr"/>
      <c r="I189" s="4" t="inlineStr"/>
      <c r="J189" s="6" t="inlineStr"/>
      <c r="K189" s="5" t="inlineStr"/>
    </row>
    <row r="190">
      <c r="A190" s="2" t="inlineStr">
        <is>
          <t>CP-HTML-84</t>
        </is>
      </c>
      <c r="B190" s="3" t="inlineStr">
        <is>
          <t>Constructor de correos HTML</t>
        </is>
      </c>
      <c r="C190" s="2" t="inlineStr">
        <is>
          <t>Media</t>
        </is>
      </c>
      <c r="D190" s="3" t="inlineStr">
        <is>
          <t>Un solo color</t>
        </is>
      </c>
      <c r="E190" s="3" t="inlineStr">
        <is>
          <t>Estilo "Un solo color" + hex de marca</t>
        </is>
      </c>
      <c r="F190" s="3" t="inlineStr"/>
      <c r="G190" s="4" t="inlineStr"/>
      <c r="H190" s="5" t="inlineStr"/>
      <c r="I190" s="4" t="inlineStr"/>
      <c r="J190" s="6" t="inlineStr"/>
      <c r="K190" s="5" t="inlineStr"/>
    </row>
    <row r="191">
      <c r="A191" s="7" t="inlineStr">
        <is>
          <t>CP-HTML-85</t>
        </is>
      </c>
      <c r="B191" s="8" t="inlineStr">
        <is>
          <t>Constructor de correos HTML</t>
        </is>
      </c>
      <c r="C191" s="7" t="inlineStr">
        <is>
          <t>Media</t>
        </is>
      </c>
      <c r="D191" s="8" t="inlineStr">
        <is>
          <t>Solo el logo (sin insignia)</t>
        </is>
      </c>
      <c r="E191" s="8" t="inlineStr">
        <is>
          <t>Fondo → "Solo el logo"</t>
        </is>
      </c>
      <c r="F191" s="8" t="inlineStr"/>
      <c r="G191" s="4" t="inlineStr"/>
      <c r="H191" s="5" t="inlineStr"/>
      <c r="I191" s="4" t="inlineStr"/>
      <c r="J191" s="6" t="inlineStr"/>
      <c r="K191" s="5" t="inlineStr"/>
    </row>
    <row r="192">
      <c r="A192" s="2" t="inlineStr">
        <is>
          <t>CP-HTML-86</t>
        </is>
      </c>
      <c r="B192" s="3" t="inlineStr">
        <is>
          <t>Constructor de correos HTML</t>
        </is>
      </c>
      <c r="C192" s="2" t="inlineStr">
        <is>
          <t>Alta</t>
        </is>
      </c>
      <c r="D192" s="3" t="inlineStr">
        <is>
          <t>Los iconos se suben al PUBLICAR</t>
        </is>
      </c>
      <c r="E192" s="3" t="inlineStr">
        <is>
          <t>Configurar redes y publicar</t>
        </is>
      </c>
      <c r="F192" s="3" t="inlineStr"/>
      <c r="G192" s="4" t="inlineStr"/>
      <c r="H192" s="5" t="inlineStr"/>
      <c r="I192" s="4" t="inlineStr"/>
      <c r="J192" s="6" t="inlineStr"/>
      <c r="K192" s="5" t="inlineStr"/>
    </row>
    <row r="193">
      <c r="A193" s="7" t="inlineStr">
        <is>
          <t>CP-HTML-87</t>
        </is>
      </c>
      <c r="B193" s="8" t="inlineStr">
        <is>
          <t>Constructor de correos HTML</t>
        </is>
      </c>
      <c r="C193" s="7" t="inlineStr">
        <is>
          <t>Alta</t>
        </is>
      </c>
      <c r="D193" s="8" t="inlineStr">
        <is>
          <t>Fallo de subida no publica</t>
        </is>
      </c>
      <c r="E193" s="8" t="inlineStr">
        <is>
          <t>Simular fallo al subir un icono</t>
        </is>
      </c>
      <c r="F193" s="8" t="inlineStr"/>
      <c r="G193" s="4" t="inlineStr"/>
      <c r="H193" s="5" t="inlineStr"/>
      <c r="I193" s="4" t="inlineStr"/>
      <c r="J193" s="6" t="inlineStr"/>
      <c r="K193" s="5" t="inlineStr"/>
    </row>
    <row r="194">
      <c r="A194" s="2" t="inlineStr">
        <is>
          <t>CP-HTML-88</t>
        </is>
      </c>
      <c r="B194" s="3" t="inlineStr">
        <is>
          <t>Constructor de correos HTML</t>
        </is>
      </c>
      <c r="C194" s="2" t="inlineStr">
        <is>
          <t>Media</t>
        </is>
      </c>
      <c r="D194" s="3" t="inlineStr">
        <is>
          <t>Vista previa en oscuro</t>
        </is>
      </c>
      <c r="E194" s="3" t="inlineStr">
        <is>
          <t>Vista previa → "Oscuro" con modo oscuro activo en Ajustes</t>
        </is>
      </c>
      <c r="F194" s="3" t="inlineStr"/>
      <c r="G194" s="4" t="inlineStr"/>
      <c r="H194" s="5" t="inlineStr"/>
      <c r="I194" s="4" t="inlineStr"/>
      <c r="J194" s="6" t="inlineStr"/>
      <c r="K194" s="5" t="inlineStr"/>
    </row>
    <row r="195">
      <c r="A195" s="7" t="inlineStr">
        <is>
          <t>CP-HTML-89</t>
        </is>
      </c>
      <c r="B195" s="8" t="inlineStr">
        <is>
          <t>Constructor de correos HTML</t>
        </is>
      </c>
      <c r="C195" s="7" t="inlineStr">
        <is>
          <t>Baja</t>
        </is>
      </c>
      <c r="D195" s="8" t="inlineStr">
        <is>
          <t>Oscuro sin reglas</t>
        </is>
      </c>
      <c r="E195" s="8" t="inlineStr">
        <is>
          <t>"Oscuro" con el modo oscuro APAGADO en Ajustes</t>
        </is>
      </c>
      <c r="F195" s="8" t="inlineStr"/>
      <c r="G195" s="4" t="inlineStr"/>
      <c r="H195" s="5" t="inlineStr"/>
      <c r="I195" s="4" t="inlineStr"/>
      <c r="J195" s="6" t="inlineStr"/>
      <c r="K195" s="5" t="inlineStr"/>
    </row>
    <row r="196">
      <c r="A196" s="2" t="inlineStr">
        <is>
          <t>CP-HTML-90</t>
        </is>
      </c>
      <c r="B196" s="3" t="inlineStr">
        <is>
          <t>Constructor de correos HTML</t>
        </is>
      </c>
      <c r="C196" s="2" t="inlineStr">
        <is>
          <t>Media</t>
        </is>
      </c>
      <c r="D196" s="3" t="inlineStr">
        <is>
          <t>Cargar no ofrece SES</t>
        </is>
      </c>
      <c r="E196" s="3" t="inlineStr">
        <is>
          <t>Abrir "Cargar"</t>
        </is>
      </c>
      <c r="F196" s="3" t="inlineStr"/>
      <c r="G196" s="4" t="inlineStr"/>
      <c r="H196" s="5" t="inlineStr"/>
      <c r="I196" s="4" t="inlineStr"/>
      <c r="J196" s="6" t="inlineStr"/>
      <c r="K196" s="5" t="inlineStr"/>
    </row>
    <row r="197">
      <c r="A197" s="7" t="inlineStr">
        <is>
          <t>CP-HTML-70</t>
        </is>
      </c>
      <c r="B197" s="8" t="inlineStr">
        <is>
          <t>Constructor de correos HTML</t>
        </is>
      </c>
      <c r="C197" s="7" t="inlineStr">
        <is>
          <t>Alta</t>
        </is>
      </c>
      <c r="D197" s="8" t="inlineStr">
        <is>
          <t>Insertar debajo del seleccionado</t>
        </is>
      </c>
      <c r="E197" s="8" t="inlineStr">
        <is>
          <t>Con 2 bloques, seleccionar el PRIMERO y hacer clic en un tipo de la paleta</t>
        </is>
      </c>
      <c r="F197" s="8" t="inlineStr"/>
      <c r="G197" s="4" t="inlineStr"/>
      <c r="H197" s="5" t="inlineStr"/>
      <c r="I197" s="4" t="inlineStr"/>
      <c r="J197" s="6" t="inlineStr"/>
      <c r="K197" s="5" t="inlineStr"/>
    </row>
    <row r="198">
      <c r="A198" s="2" t="inlineStr">
        <is>
          <t>CP-HTML-71</t>
        </is>
      </c>
      <c r="B198" s="3" t="inlineStr">
        <is>
          <t>Constructor de correos HTML</t>
        </is>
      </c>
      <c r="C198" s="2" t="inlineStr">
        <is>
          <t>Media</t>
        </is>
      </c>
      <c r="D198" s="3" t="inlineStr">
        <is>
          <t>"Agregar bloque" sigue agregando al final</t>
        </is>
      </c>
      <c r="E198" s="3" t="inlineStr">
        <is>
          <t>Usar el botón de la zona final del lienzo con un bloque seleccionado arriba</t>
        </is>
      </c>
      <c r="F198" s="3" t="inlineStr"/>
      <c r="G198" s="4" t="inlineStr"/>
      <c r="H198" s="5" t="inlineStr"/>
      <c r="I198" s="4" t="inlineStr"/>
      <c r="J198" s="6" t="inlineStr"/>
      <c r="K198" s="5" t="inlineStr"/>
    </row>
    <row r="199">
      <c r="A199" s="7" t="inlineStr">
        <is>
          <t>CP-HTML-72</t>
        </is>
      </c>
      <c r="B199" s="8" t="inlineStr">
        <is>
          <t>Constructor de correos HTML</t>
        </is>
      </c>
      <c r="C199" s="7" t="inlineStr">
        <is>
          <t>Alta</t>
        </is>
      </c>
      <c r="D199" s="8" t="inlineStr">
        <is>
          <t>Fondo de página en el editor</t>
        </is>
      </c>
      <c r="E199" s="8" t="inlineStr">
        <is>
          <t>Ajustes → cambiar "Fondo de página"</t>
        </is>
      </c>
      <c r="F199" s="8" t="inlineStr"/>
      <c r="G199" s="4" t="inlineStr"/>
      <c r="H199" s="5" t="inlineStr"/>
      <c r="I199" s="4" t="inlineStr"/>
      <c r="J199" s="6" t="inlineStr"/>
      <c r="K199" s="5" t="inlineStr"/>
    </row>
    <row r="200">
      <c r="A200" s="2" t="inlineStr">
        <is>
          <t>CP-HTML-73</t>
        </is>
      </c>
      <c r="B200" s="3" t="inlineStr">
        <is>
          <t>Constructor de correos HTML</t>
        </is>
      </c>
      <c r="C200" s="2" t="inlineStr">
        <is>
          <t>Alta</t>
        </is>
      </c>
      <c r="D200" s="3" t="inlineStr">
        <is>
          <t>Color de texto global</t>
        </is>
      </c>
      <c r="E200" s="3" t="inlineStr">
        <is>
          <t>Ajustes → cambiar "Color de texto"</t>
        </is>
      </c>
      <c r="F200" s="3" t="inlineStr"/>
      <c r="G200" s="4" t="inlineStr"/>
      <c r="H200" s="5" t="inlineStr"/>
      <c r="I200" s="4" t="inlineStr"/>
      <c r="J200" s="6" t="inlineStr"/>
      <c r="K200" s="5" t="inlineStr"/>
    </row>
    <row r="201">
      <c r="A201" s="7" t="inlineStr">
        <is>
          <t>CP-HTML-74</t>
        </is>
      </c>
      <c r="B201" s="8" t="inlineStr">
        <is>
          <t>Constructor de correos HTML</t>
        </is>
      </c>
      <c r="C201" s="7" t="inlineStr">
        <is>
          <t>Media</t>
        </is>
      </c>
      <c r="D201" s="8" t="inlineStr">
        <is>
          <t>Color propio del bloque manda</t>
        </is>
      </c>
      <c r="E201" s="8" t="inlineStr">
        <is>
          <t>Fijar un color al bloque y cambiar el global</t>
        </is>
      </c>
      <c r="F201" s="8" t="inlineStr"/>
      <c r="G201" s="4" t="inlineStr"/>
      <c r="H201" s="5" t="inlineStr"/>
      <c r="I201" s="4" t="inlineStr"/>
      <c r="J201" s="6" t="inlineStr"/>
      <c r="K201" s="5" t="inlineStr"/>
    </row>
    <row r="202">
      <c r="A202" s="2" t="inlineStr">
        <is>
          <t>CP-HTML-75</t>
        </is>
      </c>
      <c r="B202" s="3" t="inlineStr">
        <is>
          <t>Constructor de correos HTML</t>
        </is>
      </c>
      <c r="C202" s="2" t="inlineStr">
        <is>
          <t>Media</t>
        </is>
      </c>
      <c r="D202" s="3" t="inlineStr">
        <is>
          <t>Fuente global</t>
        </is>
      </c>
      <c r="E202" s="3" t="inlineStr">
        <is>
          <t>Ajustes → cambiar "Fuente"</t>
        </is>
      </c>
      <c r="F202" s="3" t="inlineStr"/>
      <c r="G202" s="4" t="inlineStr"/>
      <c r="H202" s="5" t="inlineStr"/>
      <c r="I202" s="4" t="inlineStr"/>
      <c r="J202" s="6" t="inlineStr"/>
      <c r="K202" s="5" t="inlineStr"/>
    </row>
    <row r="203">
      <c r="A203" s="7" t="inlineStr">
        <is>
          <t>CP-HTML-76</t>
        </is>
      </c>
      <c r="B203" s="8" t="inlineStr">
        <is>
          <t>Constructor de correos HTML</t>
        </is>
      </c>
      <c r="C203" s="7" t="inlineStr">
        <is>
          <t>Alta</t>
        </is>
      </c>
      <c r="D203" s="8" t="inlineStr">
        <is>
          <t>Publicar guarda las DOS formas</t>
        </is>
      </c>
      <c r="E203" s="8" t="inlineStr">
        <is>
          <t>Publicar una plantilla → abrir "Cargar"</t>
        </is>
      </c>
      <c r="F203" s="8" t="inlineStr"/>
      <c r="G203" s="4" t="inlineStr"/>
      <c r="H203" s="5" t="inlineStr"/>
      <c r="I203" s="4" t="inlineStr"/>
      <c r="J203" s="6" t="inlineStr"/>
      <c r="K203" s="5" t="inlineStr"/>
    </row>
    <row r="204">
      <c r="A204" s="2" t="inlineStr">
        <is>
          <t>CP-HTML-77</t>
        </is>
      </c>
      <c r="B204" s="3" t="inlineStr">
        <is>
          <t>Constructor de correos HTML</t>
        </is>
      </c>
      <c r="C204" s="2" t="inlineStr">
        <is>
          <t>Alta</t>
        </is>
      </c>
      <c r="D204" s="3" t="inlineStr">
        <is>
          <t>Cargar devuelve algo EDITABLE</t>
        </is>
      </c>
      <c r="E204" s="3" t="inlineStr">
        <is>
          <t>Abrir un diseño desde "Cargar"</t>
        </is>
      </c>
      <c r="F204" s="3" t="inlineStr"/>
      <c r="G204" s="4" t="inlineStr"/>
      <c r="H204" s="5" t="inlineStr"/>
      <c r="I204" s="4" t="inlineStr"/>
      <c r="J204" s="6" t="inlineStr"/>
      <c r="K204" s="5" t="inlineStr"/>
    </row>
    <row r="205">
      <c r="A205" s="7" t="inlineStr">
        <is>
          <t>CP-HTML-78</t>
        </is>
      </c>
      <c r="B205" s="8" t="inlineStr">
        <is>
          <t>Constructor de correos HTML</t>
        </is>
      </c>
      <c r="C205" s="7" t="inlineStr">
        <is>
          <t>Media</t>
        </is>
      </c>
      <c r="D205" s="8" t="inlineStr">
        <is>
          <t>Republicar no duplica</t>
        </is>
      </c>
      <c r="E205" s="8" t="inlineStr">
        <is>
          <t>Abrir un diseño, cambiar algo y Publicar</t>
        </is>
      </c>
      <c r="F205" s="8" t="inlineStr"/>
      <c r="G205" s="4" t="inlineStr"/>
      <c r="H205" s="5" t="inlineStr"/>
      <c r="I205" s="4" t="inlineStr"/>
      <c r="J205" s="6" t="inlineStr"/>
      <c r="K205" s="5" t="inlineStr"/>
    </row>
    <row r="206">
      <c r="A206" s="2" t="inlineStr">
        <is>
          <t>CP-HTML-79</t>
        </is>
      </c>
      <c r="B206" s="3" t="inlineStr">
        <is>
          <t>Constructor de correos HTML</t>
        </is>
      </c>
      <c r="C206" s="2" t="inlineStr">
        <is>
          <t>Media</t>
        </is>
      </c>
      <c r="D206" s="3" t="inlineStr">
        <is>
          <t>Solo-en-SES lista lo que no tiene diseño</t>
        </is>
      </c>
      <c r="E206" s="3" t="inlineStr">
        <is>
          <t>Revisar la 2ª sección de "Cargar"</t>
        </is>
      </c>
      <c r="F206" s="3" t="inlineStr"/>
      <c r="G206" s="4" t="inlineStr"/>
      <c r="H206" s="5" t="inlineStr"/>
      <c r="I206" s="4" t="inlineStr"/>
      <c r="J206" s="6" t="inlineStr"/>
      <c r="K206" s="5" t="inlineStr"/>
    </row>
    <row r="207">
      <c r="A207" s="7" t="inlineStr">
        <is>
          <t>CP-HTML-80</t>
        </is>
      </c>
      <c r="B207" s="8" t="inlineStr">
        <is>
          <t>Constructor de correos HTML</t>
        </is>
      </c>
      <c r="C207" s="7" t="inlineStr">
        <is>
          <t>Baja</t>
        </is>
      </c>
      <c r="D207" s="8" t="inlineStr">
        <is>
          <t>"Nuevo" cancelado no pierde la identidad</t>
        </is>
      </c>
      <c r="E207" s="8" t="inlineStr">
        <is>
          <t>Con un diseño abierto, pulsar Nuevo y CANCELAR el confirm</t>
        </is>
      </c>
      <c r="F207" s="8" t="inlineStr"/>
      <c r="G207" s="4" t="inlineStr"/>
      <c r="H207" s="5" t="inlineStr"/>
      <c r="I207" s="4" t="inlineStr"/>
      <c r="J207" s="6" t="inlineStr"/>
      <c r="K207" s="5" t="inlineStr"/>
    </row>
    <row r="208">
      <c r="A208" s="2" t="inlineStr">
        <is>
          <t>CP-HTML-67</t>
        </is>
      </c>
      <c r="B208" s="3" t="inlineStr">
        <is>
          <t>Constructor de correos HTML</t>
        </is>
      </c>
      <c r="C208" s="2" t="inlineStr">
        <is>
          <t>Media</t>
        </is>
      </c>
      <c r="D208" s="3" t="inlineStr">
        <is>
          <t>Alineación en 3 casillas</t>
        </is>
      </c>
      <c r="E208" s="3" t="inlineStr">
        <is>
          <t>Seleccionar un bloque y usar el control de Alineación</t>
        </is>
      </c>
      <c r="F208" s="3" t="inlineStr"/>
      <c r="G208" s="4" t="inlineStr"/>
      <c r="H208" s="5" t="inlineStr"/>
      <c r="I208" s="4" t="inlineStr"/>
      <c r="J208" s="6" t="inlineStr"/>
      <c r="K208" s="5" t="inlineStr"/>
    </row>
    <row r="209">
      <c r="A209" s="7" t="inlineStr">
        <is>
          <t>CP-HTML-68</t>
        </is>
      </c>
      <c r="B209" s="8" t="inlineStr">
        <is>
          <t>Constructor de correos HTML</t>
        </is>
      </c>
      <c r="C209" s="7" t="inlineStr">
        <is>
          <t>Baja</t>
        </is>
      </c>
      <c r="D209" s="8" t="inlineStr">
        <is>
          <t>La miniatura imita el bloque</t>
        </is>
      </c>
      <c r="E209" s="8" t="inlineStr">
        <is>
          <t>Comparar el control en un bloque de imagen, uno de botón y uno de texto</t>
        </is>
      </c>
      <c r="F209" s="8" t="inlineStr"/>
      <c r="G209" s="4" t="inlineStr"/>
      <c r="H209" s="5" t="inlineStr"/>
      <c r="I209" s="4" t="inlineStr"/>
      <c r="J209" s="6" t="inlineStr"/>
      <c r="K209" s="5" t="inlineStr"/>
    </row>
    <row r="210">
      <c r="A210" s="2" t="inlineStr">
        <is>
          <t>CP-HTML-69</t>
        </is>
      </c>
      <c r="B210" s="3" t="inlineStr">
        <is>
          <t>Constructor de correos HTML</t>
        </is>
      </c>
      <c r="C210" s="2" t="inlineStr">
        <is>
          <t>Baja</t>
        </is>
      </c>
      <c r="D210" s="3" t="inlineStr">
        <is>
          <t>Alineación con teclado</t>
        </is>
      </c>
      <c r="E210" s="3" t="inlineStr">
        <is>
          <t>Enfocar el control y usar ←, →, Inicio y Fin</t>
        </is>
      </c>
      <c r="F210" s="3" t="inlineStr"/>
      <c r="G210" s="4" t="inlineStr"/>
      <c r="H210" s="5" t="inlineStr"/>
      <c r="I210" s="4" t="inlineStr"/>
      <c r="J210" s="6" t="inlineStr"/>
      <c r="K210" s="5" t="inlineStr"/>
    </row>
    <row r="211">
      <c r="A211" s="7" t="inlineStr">
        <is>
          <t>CP-HTML-64</t>
        </is>
      </c>
      <c r="B211" s="8" t="inlineStr">
        <is>
          <t>Constructor de correos HTML</t>
        </is>
      </c>
      <c r="C211" s="7" t="inlineStr">
        <is>
          <t>Media</t>
        </is>
      </c>
      <c r="D211" s="8" t="inlineStr">
        <is>
          <t>Barra del bloque no tapa</t>
        </is>
      </c>
      <c r="E211" s="8" t="inlineStr">
        <is>
          <t>Seleccionar un bloque</t>
        </is>
      </c>
      <c r="F211" s="8" t="inlineStr"/>
      <c r="G211" s="4" t="inlineStr"/>
      <c r="H211" s="5" t="inlineStr"/>
      <c r="I211" s="4" t="inlineStr"/>
      <c r="J211" s="6" t="inlineStr"/>
      <c r="K211" s="5" t="inlineStr"/>
    </row>
    <row r="212">
      <c r="A212" s="2" t="inlineStr">
        <is>
          <t>CP-HTML-65</t>
        </is>
      </c>
      <c r="B212" s="3" t="inlineStr">
        <is>
          <t>Constructor de correos HTML</t>
        </is>
      </c>
      <c r="C212" s="2" t="inlineStr">
        <is>
          <t>Media</t>
        </is>
      </c>
      <c r="D212" s="3" t="inlineStr">
        <is>
          <t>Plantillas prediseñadas</t>
        </is>
      </c>
      <c r="E212" s="3" t="inlineStr">
        <is>
          <t>Abrir "Plantillas" y cargar una de las 5 integradas</t>
        </is>
      </c>
      <c r="F212" s="3" t="inlineStr"/>
      <c r="G212" s="4" t="inlineStr"/>
      <c r="H212" s="5" t="inlineStr"/>
      <c r="I212" s="4" t="inlineStr"/>
      <c r="J212" s="6" t="inlineStr"/>
      <c r="K212" s="5" t="inlineStr"/>
    </row>
    <row r="213">
      <c r="A213" s="7" t="inlineStr">
        <is>
          <t>CP-HTML-66</t>
        </is>
      </c>
      <c r="B213" s="8" t="inlineStr">
        <is>
          <t>Constructor de correos HTML</t>
        </is>
      </c>
      <c r="C213" s="7" t="inlineStr">
        <is>
          <t>Baja</t>
        </is>
      </c>
      <c r="D213" s="8" t="inlineStr">
        <is>
          <t>Móvil</t>
        </is>
      </c>
      <c r="E213" s="8" t="inlineStr">
        <is>
          <t>Abrir el constructor en un móvil</t>
        </is>
      </c>
      <c r="F213" s="8" t="inlineStr"/>
      <c r="G213" s="4" t="inlineStr"/>
      <c r="H213" s="5" t="inlineStr"/>
      <c r="I213" s="4" t="inlineStr"/>
      <c r="J213" s="6" t="inlineStr"/>
      <c r="K213" s="5" t="inlineStr"/>
    </row>
    <row r="214">
      <c r="A214" s="2" t="inlineStr">
        <is>
          <t>CP-TXT-01</t>
        </is>
      </c>
      <c r="B214" s="3" t="inlineStr">
        <is>
          <t>Constructor de correos HTML</t>
        </is>
      </c>
      <c r="C214" s="2" t="inlineStr">
        <is>
          <t>Alta</t>
        </is>
      </c>
      <c r="D214" s="3" t="inlineStr">
        <is>
          <t>La barra de formato se ve sin buscarla</t>
        </is>
      </c>
      <c r="E214" s="3" t="inlineStr">
        <is>
          <t>Seleccionar un bloque de texto en el lienzo</t>
        </is>
      </c>
      <c r="F214" s="3" t="inlineStr"/>
      <c r="G214" s="4" t="inlineStr"/>
      <c r="H214" s="5" t="inlineStr"/>
      <c r="I214" s="4" t="inlineStr"/>
      <c r="J214" s="6" t="inlineStr"/>
      <c r="K214" s="5" t="inlineStr"/>
    </row>
    <row r="215">
      <c r="A215" s="7" t="inlineStr">
        <is>
          <t>CP-TXT-02</t>
        </is>
      </c>
      <c r="B215" s="8" t="inlineStr">
        <is>
          <t>Constructor de correos HTML</t>
        </is>
      </c>
      <c r="C215" s="7" t="inlineStr">
        <is>
          <t>Alta</t>
        </is>
      </c>
      <c r="D215" s="8" t="inlineStr">
        <is>
          <t>No se recorta en el primer bloque</t>
        </is>
      </c>
      <c r="E215" s="8" t="inlineStr">
        <is>
          <t>Agregar texto como PRIMER bloque del correo y seleccionarlo</t>
        </is>
      </c>
      <c r="F215" s="8" t="inlineStr"/>
      <c r="G215" s="4" t="inlineStr"/>
      <c r="H215" s="5" t="inlineStr"/>
      <c r="I215" s="4" t="inlineStr"/>
      <c r="J215" s="6" t="inlineStr"/>
      <c r="K215" s="5" t="inlineStr"/>
    </row>
    <row r="216">
      <c r="A216" s="2" t="inlineStr">
        <is>
          <t>CP-TXT-03</t>
        </is>
      </c>
      <c r="B216" s="3" t="inlineStr">
        <is>
          <t>Constructor de correos HTML</t>
        </is>
      </c>
      <c r="C216" s="2" t="inlineStr">
        <is>
          <t>Media</t>
        </is>
      </c>
      <c r="D216" s="3" t="inlineStr">
        <is>
          <t>Todas las herramientas visibles</t>
        </is>
      </c>
      <c r="E216" s="3" t="inlineStr">
        <is>
          <t>Mirar la barra en un bloque angosto</t>
        </is>
      </c>
      <c r="F216" s="3" t="inlineStr"/>
      <c r="G216" s="4" t="inlineStr"/>
      <c r="H216" s="5" t="inlineStr"/>
      <c r="I216" s="4" t="inlineStr"/>
      <c r="J216" s="6" t="inlineStr"/>
      <c r="K216" s="5" t="inlineStr"/>
    </row>
    <row r="217">
      <c r="A217" s="7" t="inlineStr">
        <is>
          <t>CP-TXT-04</t>
        </is>
      </c>
      <c r="B217" s="8" t="inlineStr">
        <is>
          <t>Constructor de correos HTML</t>
        </is>
      </c>
      <c r="C217" s="7" t="inlineStr">
        <is>
          <t>Alta</t>
        </is>
      </c>
      <c r="D217" s="8" t="inlineStr">
        <is>
          <t>Negrita/color sobre una palabra</t>
        </is>
      </c>
      <c r="E217" s="8" t="inlineStr">
        <is>
          <t>Seleccionar una palabra → Negrita → color</t>
        </is>
      </c>
      <c r="F217" s="8" t="inlineStr"/>
      <c r="G217" s="4" t="inlineStr"/>
      <c r="H217" s="5" t="inlineStr"/>
      <c r="I217" s="4" t="inlineStr"/>
      <c r="J217" s="6" t="inlineStr"/>
      <c r="K217" s="5" t="inlineStr"/>
    </row>
    <row r="218">
      <c r="A218" s="2" t="inlineStr">
        <is>
          <t>CP-TXT-05</t>
        </is>
      </c>
      <c r="B218" s="3" t="inlineStr">
        <is>
          <t>Constructor de correos HTML</t>
        </is>
      </c>
      <c r="C218" s="2" t="inlineStr">
        <is>
          <t>Media</t>
        </is>
      </c>
      <c r="D218" s="3" t="inlineStr">
        <is>
          <t>Botones que reflejan el estado</t>
        </is>
      </c>
      <c r="E218" s="3" t="inlineStr">
        <is>
          <t>Poner el cursor dentro de una palabra en negrita</t>
        </is>
      </c>
      <c r="F218" s="3" t="inlineStr"/>
      <c r="G218" s="4" t="inlineStr"/>
      <c r="H218" s="5" t="inlineStr"/>
      <c r="I218" s="4" t="inlineStr"/>
      <c r="J218" s="6" t="inlineStr"/>
      <c r="K218" s="5" t="inlineStr"/>
    </row>
    <row r="219">
      <c r="A219" s="7" t="inlineStr">
        <is>
          <t>CP-TXT-06</t>
        </is>
      </c>
      <c r="B219" s="8" t="inlineStr">
        <is>
          <t>Constructor de correos HTML</t>
        </is>
      </c>
      <c r="C219" s="7" t="inlineStr">
        <is>
          <t>Media</t>
        </is>
      </c>
      <c r="D219" s="8" t="inlineStr">
        <is>
          <t>Resaltado</t>
        </is>
      </c>
      <c r="E219" s="8" t="inlineStr">
        <is>
          <t>Seleccionar texto → botón de resaltar → elegir color</t>
        </is>
      </c>
      <c r="F219" s="8" t="inlineStr"/>
      <c r="G219" s="4" t="inlineStr"/>
      <c r="H219" s="5" t="inlineStr"/>
      <c r="I219" s="4" t="inlineStr"/>
      <c r="J219" s="6" t="inlineStr"/>
      <c r="K219" s="5" t="inlineStr"/>
    </row>
    <row r="220">
      <c r="A220" s="2" t="inlineStr">
        <is>
          <t>CP-TXT-07</t>
        </is>
      </c>
      <c r="B220" s="3" t="inlineStr">
        <is>
          <t>Constructor de correos HTML</t>
        </is>
      </c>
      <c r="C220" s="2" t="inlineStr">
        <is>
          <t>Media</t>
        </is>
      </c>
      <c r="D220" s="3" t="inlineStr">
        <is>
          <t>Familia de fuente</t>
        </is>
      </c>
      <c r="E220" s="3" t="inlineStr">
        <is>
          <t>Seleccionar texto → Fuente → Georgia</t>
        </is>
      </c>
      <c r="F220" s="3" t="inlineStr"/>
      <c r="G220" s="4" t="inlineStr"/>
      <c r="H220" s="5" t="inlineStr"/>
      <c r="I220" s="4" t="inlineStr"/>
      <c r="J220" s="6" t="inlineStr"/>
      <c r="K220" s="5" t="inlineStr"/>
    </row>
    <row r="221">
      <c r="A221" s="7" t="inlineStr">
        <is>
          <t>CP-TXT-08</t>
        </is>
      </c>
      <c r="B221" s="8" t="inlineStr">
        <is>
          <t>Constructor de correos HTML</t>
        </is>
      </c>
      <c r="C221" s="7" t="inlineStr">
        <is>
          <t>Media</t>
        </is>
      </c>
      <c r="D221" s="8" t="inlineStr">
        <is>
          <t>El cursor no salta</t>
        </is>
      </c>
      <c r="E221" s="8" t="inlineStr">
        <is>
          <t>Escribir varias palabras seguidas al final del texto</t>
        </is>
      </c>
      <c r="F221" s="8" t="inlineStr"/>
      <c r="G221" s="4" t="inlineStr"/>
      <c r="H221" s="5" t="inlineStr"/>
      <c r="I221" s="4" t="inlineStr"/>
      <c r="J221" s="6" t="inlineStr"/>
      <c r="K221" s="5" t="inlineStr"/>
    </row>
    <row r="222">
      <c r="A222" s="2" t="inlineStr">
        <is>
          <t>CP-TXT-09</t>
        </is>
      </c>
      <c r="B222" s="3" t="inlineStr">
        <is>
          <t>Constructor de correos HTML</t>
        </is>
      </c>
      <c r="C222" s="2" t="inlineStr">
        <is>
          <t>Baja</t>
        </is>
      </c>
      <c r="D222" s="3" t="inlineStr">
        <is>
          <t>Pegar desde Word</t>
        </is>
      </c>
      <c r="E222" s="3" t="inlineStr">
        <is>
          <t>Pegar texto con formato de Word</t>
        </is>
      </c>
      <c r="F222" s="3" t="inlineStr"/>
      <c r="G222" s="4" t="inlineStr"/>
      <c r="H222" s="5" t="inlineStr"/>
      <c r="I222" s="4" t="inlineStr"/>
      <c r="J222" s="6" t="inlineStr"/>
      <c r="K222" s="5" t="inlineStr"/>
    </row>
    <row r="223">
      <c r="A223" s="7" t="inlineStr">
        <is>
          <t>CP-RED-01</t>
        </is>
      </c>
      <c r="B223" s="8" t="inlineStr">
        <is>
          <t>Constructor de correos HTML</t>
        </is>
      </c>
      <c r="C223" s="7" t="inlineStr">
        <is>
          <t>Alta</t>
        </is>
      </c>
      <c r="D223" s="8" t="inlineStr">
        <is>
          <t>Los iconos son los logos REALES</t>
        </is>
      </c>
      <c r="E223" s="8" t="inlineStr">
        <is>
          <t>Agregar bloque de Redes y mirar el panel de propiedades</t>
        </is>
      </c>
      <c r="F223" s="8" t="inlineStr"/>
      <c r="G223" s="4" t="inlineStr"/>
      <c r="H223" s="5" t="inlineStr"/>
      <c r="I223" s="4" t="inlineStr"/>
      <c r="J223" s="6" t="inlineStr"/>
      <c r="K223" s="5" t="inlineStr"/>
    </row>
    <row r="224">
      <c r="A224" s="2" t="inlineStr">
        <is>
          <t>CP-RED-02</t>
        </is>
      </c>
      <c r="B224" s="3" t="inlineStr">
        <is>
          <t>Constructor de correos HTML</t>
        </is>
      </c>
      <c r="C224" s="2" t="inlineStr">
        <is>
          <t>Media</t>
        </is>
      </c>
      <c r="D224" s="3" t="inlineStr">
        <is>
          <t>"Colores de cada red" ya no se ofrece</t>
        </is>
      </c>
      <c r="E224" s="3" t="inlineStr">
        <is>
          <t>Abrir el desplegable Estilo</t>
        </is>
      </c>
      <c r="F224" s="3" t="inlineStr"/>
      <c r="G224" s="4" t="inlineStr"/>
      <c r="H224" s="5" t="inlineStr"/>
      <c r="I224" s="4" t="inlineStr"/>
      <c r="J224" s="6" t="inlineStr"/>
      <c r="K224" s="5" t="inlineStr"/>
    </row>
    <row r="225">
      <c r="A225" s="7" t="inlineStr">
        <is>
          <t>CP-RED-03</t>
        </is>
      </c>
      <c r="B225" s="8" t="inlineStr">
        <is>
          <t>Constructor de correos HTML</t>
        </is>
      </c>
      <c r="C225" s="7" t="inlineStr">
        <is>
          <t>Media</t>
        </is>
      </c>
      <c r="D225" s="8" t="inlineStr">
        <is>
          <t>Plantilla vieja con ese estilo</t>
        </is>
      </c>
      <c r="E225" s="8" t="inlineStr">
        <is>
          <t>Cargar un diseño guardado con "Colores de cada red"</t>
        </is>
      </c>
      <c r="F225" s="8" t="inlineStr"/>
      <c r="G225" s="4" t="inlineStr"/>
      <c r="H225" s="5" t="inlineStr"/>
      <c r="I225" s="4" t="inlineStr"/>
      <c r="J225" s="6" t="inlineStr"/>
      <c r="K225" s="5" t="inlineStr"/>
    </row>
    <row r="226">
      <c r="A226" s="2" t="inlineStr">
        <is>
          <t>CP-RED-04</t>
        </is>
      </c>
      <c r="B226" s="3" t="inlineStr">
        <is>
          <t>Constructor de correos HTML</t>
        </is>
      </c>
      <c r="C226" s="2" t="inlineStr">
        <is>
          <t>Alta</t>
        </is>
      </c>
      <c r="D226" s="3" t="inlineStr">
        <is>
          <t>Contorno para logos oscuros</t>
        </is>
      </c>
      <c r="E226" s="3" t="inlineStr">
        <is>
          <t>Activar "Contorno" y elegir un color claro</t>
        </is>
      </c>
      <c r="F226" s="3" t="inlineStr"/>
      <c r="G226" s="4" t="inlineStr"/>
      <c r="H226" s="5" t="inlineStr"/>
      <c r="I226" s="4" t="inlineStr"/>
      <c r="J226" s="6" t="inlineStr"/>
      <c r="K226" s="5" t="inlineStr"/>
    </row>
    <row r="227">
      <c r="A227" s="7" t="inlineStr">
        <is>
          <t>CP-RED-05</t>
        </is>
      </c>
      <c r="B227" s="8" t="inlineStr">
        <is>
          <t>Constructor de correos HTML</t>
        </is>
      </c>
      <c r="C227" s="7" t="inlineStr">
        <is>
          <t>Alta</t>
        </is>
      </c>
      <c r="D227" s="8" t="inlineStr">
        <is>
          <t>Aviso de icono invisible</t>
        </is>
      </c>
      <c r="E227" s="8" t="inlineStr">
        <is>
          <t>Poner color de marca oscuro Y color de logo oscuro → "Revisar"</t>
        </is>
      </c>
      <c r="F227" s="8" t="inlineStr"/>
      <c r="G227" s="4" t="inlineStr"/>
      <c r="H227" s="5" t="inlineStr"/>
      <c r="I227" s="4" t="inlineStr"/>
      <c r="J227" s="6" t="inlineStr"/>
      <c r="K227" s="5" t="inlineStr"/>
    </row>
    <row r="228">
      <c r="A228" s="2" t="inlineStr">
        <is>
          <t>CP-RED-06</t>
        </is>
      </c>
      <c r="B228" s="3" t="inlineStr">
        <is>
          <t>Constructor de correos HTML</t>
        </is>
      </c>
      <c r="C228" s="2" t="inlineStr">
        <is>
          <t>Media</t>
        </is>
      </c>
      <c r="D228" s="3" t="inlineStr">
        <is>
          <t>Logo blanco no dispara el aviso</t>
        </is>
      </c>
      <c r="E228" s="3" t="inlineStr">
        <is>
          <t>Color de marca oscuro + logo blanco → "Revisar"</t>
        </is>
      </c>
      <c r="F228" s="3" t="inlineStr"/>
      <c r="G228" s="4" t="inlineStr"/>
      <c r="H228" s="5" t="inlineStr"/>
      <c r="I228" s="4" t="inlineStr"/>
      <c r="J228" s="6" t="inlineStr"/>
      <c r="K228" s="5" t="inlineStr"/>
    </row>
    <row r="229">
      <c r="A229" s="7" t="inlineStr">
        <is>
          <t>CP-RED-07</t>
        </is>
      </c>
      <c r="B229" s="8" t="inlineStr">
        <is>
          <t>Constructor de correos HTML</t>
        </is>
      </c>
      <c r="C229" s="7" t="inlineStr">
        <is>
          <t>Media</t>
        </is>
      </c>
      <c r="D229" s="8" t="inlineStr">
        <is>
          <t>Alineación de los iconos</t>
        </is>
      </c>
      <c r="E229" s="8" t="inlineStr">
        <is>
          <t>Alinear a izquierda / derecha</t>
        </is>
      </c>
      <c r="F229" s="8" t="inlineStr"/>
      <c r="G229" s="4" t="inlineStr"/>
      <c r="H229" s="5" t="inlineStr"/>
      <c r="I229" s="4" t="inlineStr"/>
      <c r="J229" s="6" t="inlineStr"/>
      <c r="K229" s="5" t="inlineStr"/>
    </row>
    <row r="230">
      <c r="A230" s="2" t="inlineStr">
        <is>
          <t>CP-PDF-01</t>
        </is>
      </c>
      <c r="B230" s="3" t="inlineStr">
        <is>
          <t>Plantillas PDF (básicas · Estudio · Diseñador)</t>
        </is>
      </c>
      <c r="C230" s="2" t="inlineStr">
        <is>
          <t>Alta</t>
        </is>
      </c>
      <c r="D230" s="3" t="inlineStr">
        <is>
          <t>Editor básico tipo Word</t>
        </is>
      </c>
      <c r="E230" s="3" t="inlineStr">
        <is>
          <t>Crear plantilla con títulos, imagen, tabla y variables</t>
        </is>
      </c>
      <c r="F230" s="3" t="inlineStr"/>
      <c r="G230" s="4" t="inlineStr"/>
      <c r="H230" s="5" t="inlineStr"/>
      <c r="I230" s="4" t="inlineStr"/>
      <c r="J230" s="6" t="inlineStr"/>
      <c r="K230" s="5" t="inlineStr"/>
    </row>
    <row r="231">
      <c r="A231" s="7" t="inlineStr">
        <is>
          <t>CP-PDF-02</t>
        </is>
      </c>
      <c r="B231" s="8" t="inlineStr">
        <is>
          <t>Plantillas PDF (básicas · Estudio · Diseñador)</t>
        </is>
      </c>
      <c r="C231" s="7" t="inlineStr">
        <is>
          <t>Alta</t>
        </is>
      </c>
      <c r="D231" s="8" t="inlineStr">
        <is>
          <t>Vista previa PDF (básico)</t>
        </is>
      </c>
      <c r="E231" s="8" t="inlineStr">
        <is>
          <t>Botón "Vista previa PDF"</t>
        </is>
      </c>
      <c r="F231" s="8" t="inlineStr"/>
      <c r="G231" s="4" t="inlineStr"/>
      <c r="H231" s="5" t="inlineStr"/>
      <c r="I231" s="4" t="inlineStr"/>
      <c r="J231" s="6" t="inlineStr"/>
      <c r="K231" s="5" t="inlineStr"/>
    </row>
    <row r="232">
      <c r="A232" s="2" t="inlineStr">
        <is>
          <t>CP-PDF-03</t>
        </is>
      </c>
      <c r="B232" s="3" t="inlineStr">
        <is>
          <t>Plantillas PDF (básicas · Estudio · Diseñador)</t>
        </is>
      </c>
      <c r="C232" s="2" t="inlineStr">
        <is>
          <t>Alta</t>
        </is>
      </c>
      <c r="D232" s="3" t="inlineStr">
        <is>
          <t>Estudio PDF (lienzo)</t>
        </is>
      </c>
      <c r="E232" s="3" t="inlineStr">
        <is>
          <t>Crear un diseño con texto, formas, tabla y guardar</t>
        </is>
      </c>
      <c r="F232" s="3" t="inlineStr"/>
      <c r="G232" s="4" t="inlineStr"/>
      <c r="H232" s="5" t="inlineStr"/>
      <c r="I232" s="4" t="inlineStr"/>
      <c r="J232" s="6" t="inlineStr"/>
      <c r="K232" s="5" t="inlineStr"/>
    </row>
    <row r="233">
      <c r="A233" s="7" t="inlineStr">
        <is>
          <t>CP-PDF-04</t>
        </is>
      </c>
      <c r="B233" s="8" t="inlineStr">
        <is>
          <t>Plantillas PDF (básicas · Estudio · Diseñador)</t>
        </is>
      </c>
      <c r="C233" s="7" t="inlineStr">
        <is>
          <t>Alta</t>
        </is>
      </c>
      <c r="D233" s="8" t="inlineStr">
        <is>
          <t>Estudio: variables con datos reales</t>
        </is>
      </c>
      <c r="E233" s="8" t="inlineStr">
        <is>
          <t>Elegir una base en el panel de datos → Vista previa</t>
        </is>
      </c>
      <c r="F233" s="8" t="inlineStr"/>
      <c r="G233" s="4" t="inlineStr"/>
      <c r="H233" s="5" t="inlineStr"/>
      <c r="I233" s="4" t="inlineStr"/>
      <c r="J233" s="6" t="inlineStr"/>
      <c r="K233" s="5" t="inlineStr"/>
    </row>
    <row r="234">
      <c r="A234" s="2" t="inlineStr">
        <is>
          <t>CP-PDF-05</t>
        </is>
      </c>
      <c r="B234" s="3" t="inlineStr">
        <is>
          <t>Plantillas PDF (básicas · Estudio · Diseñador)</t>
        </is>
      </c>
      <c r="C234" s="2" t="inlineStr">
        <is>
          <t>Media</t>
        </is>
      </c>
      <c r="D234" s="3" t="inlineStr">
        <is>
          <t>Estudio: unidades y reglas</t>
        </is>
      </c>
      <c r="E234" s="3" t="inlineStr">
        <is>
          <t>Cambiar la unidad (mm/cm/pt/px/in) y usar 1:1 / ajustar a ventana</t>
        </is>
      </c>
      <c r="F234" s="3" t="inlineStr"/>
      <c r="G234" s="4" t="inlineStr"/>
      <c r="H234" s="5" t="inlineStr"/>
      <c r="I234" s="4" t="inlineStr"/>
      <c r="J234" s="6" t="inlineStr"/>
      <c r="K234" s="5" t="inlineStr"/>
    </row>
    <row r="235">
      <c r="A235" s="7" t="inlineStr">
        <is>
          <t>CP-PDF-06</t>
        </is>
      </c>
      <c r="B235" s="8" t="inlineStr">
        <is>
          <t>Plantillas PDF (básicas · Estudio · Diseñador)</t>
        </is>
      </c>
      <c r="C235" s="7" t="inlineStr">
        <is>
          <t>Media</t>
        </is>
      </c>
      <c r="D235" s="8" t="inlineStr">
        <is>
          <t>Estudio: seleccionar elemento rotado</t>
        </is>
      </c>
      <c r="E235" s="8" t="inlineStr">
        <is>
          <t>Girar un texto y hacer clic dentro de su caja visual</t>
        </is>
      </c>
      <c r="F235" s="8" t="inlineStr"/>
      <c r="G235" s="4" t="inlineStr"/>
      <c r="H235" s="5" t="inlineStr"/>
      <c r="I235" s="4" t="inlineStr"/>
      <c r="J235" s="6" t="inlineStr"/>
      <c r="K235" s="5" t="inlineStr"/>
    </row>
    <row r="236">
      <c r="A236" s="2" t="inlineStr">
        <is>
          <t>CP-PDF-07</t>
        </is>
      </c>
      <c r="B236" s="3" t="inlineStr">
        <is>
          <t>Plantillas PDF (básicas · Estudio · Diseñador)</t>
        </is>
      </c>
      <c r="C236" s="2" t="inlineStr">
        <is>
          <t>Media</t>
        </is>
      </c>
      <c r="D236" s="3" t="inlineStr">
        <is>
          <t>Estudio: estilos vinculados</t>
        </is>
      </c>
      <c r="E236" s="3" t="inlineStr">
        <is>
          <t>Vincular un estilo de texto/párrafo y editarlo</t>
        </is>
      </c>
      <c r="F236" s="3" t="inlineStr"/>
      <c r="G236" s="4" t="inlineStr"/>
      <c r="H236" s="5" t="inlineStr"/>
      <c r="I236" s="4" t="inlineStr"/>
      <c r="J236" s="6" t="inlineStr"/>
      <c r="K236" s="5" t="inlineStr"/>
    </row>
    <row r="237">
      <c r="A237" s="7" t="inlineStr">
        <is>
          <t>CP-PDF-08</t>
        </is>
      </c>
      <c r="B237" s="8" t="inlineStr">
        <is>
          <t>Plantillas PDF (básicas · Estudio · Diseñador)</t>
        </is>
      </c>
      <c r="C237" s="7" t="inlineStr">
        <is>
          <t>Media</t>
        </is>
      </c>
      <c r="D237" s="8" t="inlineStr">
        <is>
          <t>Diseñador PDF (full)</t>
        </is>
      </c>
      <c r="E237" s="8" t="inlineStr">
        <is>
          <t>Abrir el Diseñador y crear un documento</t>
        </is>
      </c>
      <c r="F237" s="8" t="inlineStr"/>
      <c r="G237" s="4" t="inlineStr"/>
      <c r="H237" s="5" t="inlineStr"/>
      <c r="I237" s="4" t="inlineStr"/>
      <c r="J237" s="6" t="inlineStr"/>
      <c r="K237" s="5" t="inlineStr"/>
    </row>
    <row r="238">
      <c r="A238" s="2" t="inlineStr">
        <is>
          <t>CP-PDF-09</t>
        </is>
      </c>
      <c r="B238" s="3" t="inlineStr">
        <is>
          <t>Plantillas PDF (básicas · Estudio · Diseñador)</t>
        </is>
      </c>
      <c r="C238" s="2" t="inlineStr">
        <is>
          <t>Alta</t>
        </is>
      </c>
      <c r="D238" s="3" t="inlineStr">
        <is>
          <t>Campaña EAP-PDF de punta a punta</t>
        </is>
      </c>
      <c r="E238" s="3" t="inlineStr">
        <is>
          <t>Crear campaña EAP tipo PDF con una plantilla del Estudio, muestras y envío real</t>
        </is>
      </c>
      <c r="F238" s="3" t="inlineStr"/>
      <c r="G238" s="4" t="inlineStr"/>
      <c r="H238" s="5" t="inlineStr"/>
      <c r="I238" s="4" t="inlineStr"/>
      <c r="J238" s="6" t="inlineStr"/>
      <c r="K238" s="5" t="inlineStr"/>
    </row>
    <row r="239">
      <c r="A239" s="7" t="inlineStr">
        <is>
          <t>CP-PDF-10</t>
        </is>
      </c>
      <c r="B239" s="8" t="inlineStr">
        <is>
          <t>Plantillas PDF (básicas · Estudio · Diseñador)</t>
        </is>
      </c>
      <c r="C239" s="7" t="inlineStr">
        <is>
          <t>Alta</t>
        </is>
      </c>
      <c r="D239" s="8" t="inlineStr">
        <is>
          <t>Tabla que desborda pagina</t>
        </is>
      </c>
      <c r="E239" s="8" t="inlineStr">
        <is>
          <t>Plantilla con tabla repeatBy y un registro con 30+ filas</t>
        </is>
      </c>
      <c r="F239" s="8" t="inlineStr"/>
      <c r="G239" s="4" t="inlineStr"/>
      <c r="H239" s="5" t="inlineStr"/>
      <c r="I239" s="4" t="inlineStr"/>
      <c r="J239" s="6" t="inlineStr"/>
      <c r="K239" s="5" t="inlineStr"/>
    </row>
    <row r="240">
      <c r="A240" s="2" t="inlineStr">
        <is>
          <t>CP-PDF-11</t>
        </is>
      </c>
      <c r="B240" s="3" t="inlineStr">
        <is>
          <t>Plantillas PDF (básicas · Estudio · Diseñador)</t>
        </is>
      </c>
      <c r="C240" s="2" t="inlineStr">
        <is>
          <t>Media</t>
        </is>
      </c>
      <c r="D240" s="3" t="inlineStr">
        <is>
          <t>Celdas con JSON (multiregistro)</t>
        </is>
      </c>
      <c r="E240" s="3" t="inlineStr">
        <is>
          <t>Base con una columna que trae un array JSON</t>
        </is>
      </c>
      <c r="F240" s="3" t="inlineStr"/>
      <c r="G240" s="4" t="inlineStr"/>
      <c r="H240" s="5" t="inlineStr"/>
      <c r="I240" s="4" t="inlineStr"/>
      <c r="J240" s="6" t="inlineStr"/>
      <c r="K240" s="5" t="inlineStr"/>
    </row>
    <row r="241">
      <c r="A241" s="7" t="inlineStr">
        <is>
          <t>CP-PDF-12</t>
        </is>
      </c>
      <c r="B241" s="8" t="inlineStr">
        <is>
          <t>Plantillas PDF (básicas · Estudio · Diseñador)</t>
        </is>
      </c>
      <c r="C241" s="7" t="inlineStr">
        <is>
          <t>Media</t>
        </is>
      </c>
      <c r="D241" s="8" t="inlineStr">
        <is>
          <t>Encabezados con BOM/espacios</t>
        </is>
      </c>
      <c r="E241" s="8" t="inlineStr">
        <is>
          <t>Base exportada de Excel (BOM en la 1ª columna)</t>
        </is>
      </c>
      <c r="F241" s="8" t="inlineStr"/>
      <c r="G241" s="4" t="inlineStr"/>
      <c r="H241" s="5" t="inlineStr"/>
      <c r="I241" s="4" t="inlineStr"/>
      <c r="J241" s="6" t="inlineStr"/>
      <c r="K241" s="5" t="inlineStr"/>
    </row>
    <row r="242">
      <c r="A242" s="2" t="inlineStr">
        <is>
          <t>CP-PDF-13</t>
        </is>
      </c>
      <c r="B242" s="3" t="inlineStr">
        <is>
          <t>Plantillas PDF (básicas · Estudio · Diseñador)</t>
        </is>
      </c>
      <c r="C242" s="2" t="inlineStr">
        <is>
          <t>Baja</t>
        </is>
      </c>
      <c r="D242" s="3" t="inlineStr">
        <is>
          <t>Bordes y degradados</t>
        </is>
      </c>
      <c r="E242" s="3" t="inlineStr">
        <is>
          <t>Formas con borde discontinuo y relleno degradado</t>
        </is>
      </c>
      <c r="F242" s="3" t="inlineStr"/>
      <c r="G242" s="4" t="inlineStr"/>
      <c r="H242" s="5" t="inlineStr"/>
      <c r="I242" s="4" t="inlineStr"/>
      <c r="J242" s="6" t="inlineStr"/>
      <c r="K242" s="5" t="inlineStr"/>
    </row>
    <row r="243">
      <c r="A243" s="7" t="inlineStr">
        <is>
          <t>CP-APR-01</t>
        </is>
      </c>
      <c r="B243" s="8" t="inlineStr">
        <is>
          <t>Aprobaciones (maker-checker) y programación de envíos</t>
        </is>
      </c>
      <c r="C243" s="7" t="inlineStr">
        <is>
          <t>Alta</t>
        </is>
      </c>
      <c r="D243" s="8" t="inlineStr">
        <is>
          <t>Solicitar aprobación</t>
        </is>
      </c>
      <c r="E243" s="8" t="inlineStr">
        <is>
          <t>Campaña con muestras enviadas → "Solicitar aprobación"</t>
        </is>
      </c>
      <c r="F243" s="8" t="inlineStr"/>
      <c r="G243" s="4" t="inlineStr"/>
      <c r="H243" s="5" t="inlineStr"/>
      <c r="I243" s="4" t="inlineStr"/>
      <c r="J243" s="6" t="inlineStr"/>
      <c r="K243" s="5" t="inlineStr"/>
    </row>
    <row r="244">
      <c r="A244" s="2" t="inlineStr">
        <is>
          <t>CP-APR-02</t>
        </is>
      </c>
      <c r="B244" s="3" t="inlineStr">
        <is>
          <t>Aprobaciones (maker-checker) y programación de envíos</t>
        </is>
      </c>
      <c r="C244" s="2" t="inlineStr">
        <is>
          <t>Alta</t>
        </is>
      </c>
      <c r="D244" s="3" t="inlineStr">
        <is>
          <t>Sin muestras no se puede pedir</t>
        </is>
      </c>
      <c r="E244" s="3" t="inlineStr">
        <is>
          <t>Campaña sin muestras → solicitar</t>
        </is>
      </c>
      <c r="F244" s="3" t="inlineStr"/>
      <c r="G244" s="4" t="inlineStr"/>
      <c r="H244" s="5" t="inlineStr"/>
      <c r="I244" s="4" t="inlineStr"/>
      <c r="J244" s="6" t="inlineStr"/>
      <c r="K244" s="5" t="inlineStr"/>
    </row>
    <row r="245">
      <c r="A245" s="7" t="inlineStr">
        <is>
          <t>CP-APR-03</t>
        </is>
      </c>
      <c r="B245" s="8" t="inlineStr">
        <is>
          <t>Aprobaciones (maker-checker) y programación de envíos</t>
        </is>
      </c>
      <c r="C245" s="7" t="inlineStr">
        <is>
          <t>Alta</t>
        </is>
      </c>
      <c r="D245" s="8" t="inlineStr">
        <is>
          <t>Aprobar habilita el envío real</t>
        </is>
      </c>
      <c r="E245" s="8" t="inlineStr">
        <is>
          <t>Aprobador aprueba</t>
        </is>
      </c>
      <c r="F245" s="8" t="inlineStr"/>
      <c r="G245" s="4" t="inlineStr"/>
      <c r="H245" s="5" t="inlineStr"/>
      <c r="I245" s="4" t="inlineStr"/>
      <c r="J245" s="6" t="inlineStr"/>
      <c r="K245" s="5" t="inlineStr"/>
    </row>
    <row r="246">
      <c r="A246" s="2" t="inlineStr">
        <is>
          <t>CP-APR-04</t>
        </is>
      </c>
      <c r="B246" s="3" t="inlineStr">
        <is>
          <t>Aprobaciones (maker-checker) y programación de envíos</t>
        </is>
      </c>
      <c r="C246" s="2" t="inlineStr">
        <is>
          <t>Alta</t>
        </is>
      </c>
      <c r="D246" s="3" t="inlineStr">
        <is>
          <t>Operator NO puede aprobar</t>
        </is>
      </c>
      <c r="E246" s="3" t="inlineStr">
        <is>
          <t>Usuario operator llama a /Campaign/Approve (por API, no por UI)</t>
        </is>
      </c>
      <c r="F246" s="3" t="inlineStr"/>
      <c r="G246" s="4" t="inlineStr"/>
      <c r="H246" s="5" t="inlineStr"/>
      <c r="I246" s="4" t="inlineStr"/>
      <c r="J246" s="6" t="inlineStr"/>
      <c r="K246" s="5" t="inlineStr"/>
    </row>
    <row r="247">
      <c r="A247" s="7" t="inlineStr">
        <is>
          <t>CP-APR-05</t>
        </is>
      </c>
      <c r="B247" s="8" t="inlineStr">
        <is>
          <t>Aprobaciones (maker-checker) y programación de envíos</t>
        </is>
      </c>
      <c r="C247" s="7" t="inlineStr">
        <is>
          <t>Alta</t>
        </is>
      </c>
      <c r="D247" s="8" t="inlineStr">
        <is>
          <t>Operator NO puede enviar real</t>
        </is>
      </c>
      <c r="E247" s="8" t="inlineStr">
        <is>
          <t>Usuario operator dispara el envío real por API</t>
        </is>
      </c>
      <c r="F247" s="8" t="inlineStr"/>
      <c r="G247" s="4" t="inlineStr"/>
      <c r="H247" s="5" t="inlineStr"/>
      <c r="I247" s="4" t="inlineStr"/>
      <c r="J247" s="6" t="inlineStr"/>
      <c r="K247" s="5" t="inlineStr"/>
    </row>
    <row r="248">
      <c r="A248" s="2" t="inlineStr">
        <is>
          <t>CP-APR-06</t>
        </is>
      </c>
      <c r="B248" s="3" t="inlineStr">
        <is>
          <t>Aprobaciones (maker-checker) y programación de envíos</t>
        </is>
      </c>
      <c r="C248" s="2" t="inlineStr">
        <is>
          <t>Media</t>
        </is>
      </c>
      <c r="D248" s="3" t="inlineStr">
        <is>
          <t>Rechazar con motivo</t>
        </is>
      </c>
      <c r="E248" s="3" t="inlineStr">
        <is>
          <t>Rechazar sin motivo y con motivo</t>
        </is>
      </c>
      <c r="F248" s="3" t="inlineStr"/>
      <c r="G248" s="4" t="inlineStr"/>
      <c r="H248" s="5" t="inlineStr"/>
      <c r="I248" s="4" t="inlineStr"/>
      <c r="J248" s="6" t="inlineStr"/>
      <c r="K248" s="5" t="inlineStr"/>
    </row>
    <row r="249">
      <c r="A249" s="7" t="inlineStr">
        <is>
          <t>CP-APR-07</t>
        </is>
      </c>
      <c r="B249" s="8" t="inlineStr">
        <is>
          <t>Aprobaciones (maker-checker) y programación de envíos</t>
        </is>
      </c>
      <c r="C249" s="7" t="inlineStr">
        <is>
          <t>Media</t>
        </is>
      </c>
      <c r="D249" s="8" t="inlineStr">
        <is>
          <t>Doble aprobación</t>
        </is>
      </c>
      <c r="E249" s="8" t="inlineStr">
        <is>
          <t>Aprobar una campaña ya aprobada</t>
        </is>
      </c>
      <c r="F249" s="8" t="inlineStr"/>
      <c r="G249" s="4" t="inlineStr"/>
      <c r="H249" s="5" t="inlineStr"/>
      <c r="I249" s="4" t="inlineStr"/>
      <c r="J249" s="6" t="inlineStr"/>
      <c r="K249" s="5" t="inlineStr"/>
    </row>
    <row r="250">
      <c r="A250" s="2" t="inlineStr">
        <is>
          <t>CP-SCH-01</t>
        </is>
      </c>
      <c r="B250" s="3" t="inlineStr">
        <is>
          <t>Aprobaciones (maker-checker) y programación de envíos</t>
        </is>
      </c>
      <c r="C250" s="2" t="inlineStr">
        <is>
          <t>Alta</t>
        </is>
      </c>
      <c r="D250" s="3" t="inlineStr">
        <is>
          <t>Programar envío</t>
        </is>
      </c>
      <c r="E250" s="3" t="inlineStr">
        <is>
          <t>Campaña aprobada → programar a una hora futura</t>
        </is>
      </c>
      <c r="F250" s="3" t="inlineStr"/>
      <c r="G250" s="4" t="inlineStr"/>
      <c r="H250" s="5" t="inlineStr"/>
      <c r="I250" s="4" t="inlineStr"/>
      <c r="J250" s="6" t="inlineStr"/>
      <c r="K250" s="5" t="inlineStr"/>
    </row>
    <row r="251">
      <c r="A251" s="7" t="inlineStr">
        <is>
          <t>CP-SCH-02</t>
        </is>
      </c>
      <c r="B251" s="8" t="inlineStr">
        <is>
          <t>Aprobaciones (maker-checker) y programación de envíos</t>
        </is>
      </c>
      <c r="C251" s="7" t="inlineStr">
        <is>
          <t>Alta</t>
        </is>
      </c>
      <c r="D251" s="8" t="inlineStr">
        <is>
          <t>Disparo a la hora exacta</t>
        </is>
      </c>
      <c r="E251" s="8" t="inlineStr">
        <is>
          <t>Programar a +2 minutos y esperar</t>
        </is>
      </c>
      <c r="F251" s="8" t="inlineStr"/>
      <c r="G251" s="4" t="inlineStr"/>
      <c r="H251" s="5" t="inlineStr"/>
      <c r="I251" s="4" t="inlineStr"/>
      <c r="J251" s="6" t="inlineStr"/>
      <c r="K251" s="5" t="inlineStr"/>
    </row>
    <row r="252">
      <c r="A252" s="2" t="inlineStr">
        <is>
          <t>CP-SCH-03</t>
        </is>
      </c>
      <c r="B252" s="3" t="inlineStr">
        <is>
          <t>Aprobaciones (maker-checker) y programación de envíos</t>
        </is>
      </c>
      <c r="C252" s="2" t="inlineStr">
        <is>
          <t>Media</t>
        </is>
      </c>
      <c r="D252" s="3" t="inlineStr">
        <is>
          <t>Fecha en el pasado</t>
        </is>
      </c>
      <c r="E252" s="3" t="inlineStr">
        <is>
          <t>Programar a una hora ya pasada</t>
        </is>
      </c>
      <c r="F252" s="3" t="inlineStr"/>
      <c r="G252" s="4" t="inlineStr"/>
      <c r="H252" s="5" t="inlineStr"/>
      <c r="I252" s="4" t="inlineStr"/>
      <c r="J252" s="6" t="inlineStr"/>
      <c r="K252" s="5" t="inlineStr"/>
    </row>
    <row r="253">
      <c r="A253" s="7" t="inlineStr">
        <is>
          <t>CP-SCH-04</t>
        </is>
      </c>
      <c r="B253" s="8" t="inlineStr">
        <is>
          <t>Aprobaciones (maker-checker) y programación de envíos</t>
        </is>
      </c>
      <c r="C253" s="7" t="inlineStr">
        <is>
          <t>Media</t>
        </is>
      </c>
      <c r="D253" s="8" t="inlineStr">
        <is>
          <t>Cancelar</t>
        </is>
      </c>
      <c r="E253" s="8" t="inlineStr">
        <is>
          <t>Cancelar una programación pending</t>
        </is>
      </c>
      <c r="F253" s="8" t="inlineStr"/>
      <c r="G253" s="4" t="inlineStr"/>
      <c r="H253" s="5" t="inlineStr"/>
      <c r="I253" s="4" t="inlineStr"/>
      <c r="J253" s="6" t="inlineStr"/>
      <c r="K253" s="5" t="inlineStr"/>
    </row>
    <row r="254">
      <c r="A254" s="2" t="inlineStr">
        <is>
          <t>CP-SCH-05</t>
        </is>
      </c>
      <c r="B254" s="3" t="inlineStr">
        <is>
          <t>Aprobaciones (maker-checker) y programación de envíos</t>
        </is>
      </c>
      <c r="C254" s="2" t="inlineStr">
        <is>
          <t>Media</t>
        </is>
      </c>
      <c r="D254" s="3" t="inlineStr">
        <is>
          <t>Cancelar una ya disparada</t>
        </is>
      </c>
      <c r="E254" s="3" t="inlineStr">
        <is>
          <t>Cancelar una sent</t>
        </is>
      </c>
      <c r="F254" s="3" t="inlineStr"/>
      <c r="G254" s="4" t="inlineStr"/>
      <c r="H254" s="5" t="inlineStr"/>
      <c r="I254" s="4" t="inlineStr"/>
      <c r="J254" s="6" t="inlineStr"/>
      <c r="K254" s="5" t="inlineStr"/>
    </row>
    <row r="255">
      <c r="A255" s="7" t="inlineStr">
        <is>
          <t>CP-SCH-06</t>
        </is>
      </c>
      <c r="B255" s="8" t="inlineStr">
        <is>
          <t>Aprobaciones (maker-checker) y programación de envíos</t>
        </is>
      </c>
      <c r="C255" s="7" t="inlineStr">
        <is>
          <t>Media</t>
        </is>
      </c>
      <c r="D255" s="8" t="inlineStr">
        <is>
          <t>Sin aprobación no programa</t>
        </is>
      </c>
      <c r="E255" s="8" t="inlineStr">
        <is>
          <t>Campaña sin aprobar → programar</t>
        </is>
      </c>
      <c r="F255" s="8" t="inlineStr"/>
      <c r="G255" s="4" t="inlineStr"/>
      <c r="H255" s="5" t="inlineStr"/>
      <c r="I255" s="4" t="inlineStr"/>
      <c r="J255" s="6" t="inlineStr"/>
      <c r="K255" s="5" t="inlineStr"/>
    </row>
    <row r="256">
      <c r="A256" s="2" t="inlineStr">
        <is>
          <t>CP-SCH-07</t>
        </is>
      </c>
      <c r="B256" s="3" t="inlineStr">
        <is>
          <t>Aprobaciones (maker-checker) y programación de envíos</t>
        </is>
      </c>
      <c r="C256" s="2" t="inlineStr">
        <is>
          <t>Media</t>
        </is>
      </c>
      <c r="D256" s="3" t="inlineStr">
        <is>
          <t>Zona horaria</t>
        </is>
      </c>
      <c r="E256" s="3" t="inlineStr">
        <is>
          <t>Programar 3:00 p. m. hora local</t>
        </is>
      </c>
      <c r="F256" s="3" t="inlineStr"/>
      <c r="G256" s="4" t="inlineStr"/>
      <c r="H256" s="5" t="inlineStr"/>
      <c r="I256" s="4" t="inlineStr"/>
      <c r="J256" s="6" t="inlineStr"/>
      <c r="K256" s="5" t="inlineStr"/>
    </row>
    <row r="257">
      <c r="A257" s="7" t="inlineStr">
        <is>
          <t>CP-USR-01</t>
        </is>
      </c>
      <c r="B257" s="8" t="inlineStr">
        <is>
          <t>Equipo del cliente y roles</t>
        </is>
      </c>
      <c r="C257" s="7" t="inlineStr">
        <is>
          <t>Alta</t>
        </is>
      </c>
      <c r="D257" s="8" t="inlineStr">
        <is>
          <t>NIT ya registrado</t>
        </is>
      </c>
      <c r="E257" s="8" t="inlineStr">
        <is>
          <t>Registrarse con el NIT de una empresa existente</t>
        </is>
      </c>
      <c r="F257" s="8" t="inlineStr"/>
      <c r="G257" s="4" t="inlineStr"/>
      <c r="H257" s="5" t="inlineStr"/>
      <c r="I257" s="4" t="inlineStr"/>
      <c r="J257" s="6" t="inlineStr"/>
      <c r="K257" s="5" t="inlineStr"/>
    </row>
    <row r="258">
      <c r="A258" s="2" t="inlineStr">
        <is>
          <t>CP-USR-02</t>
        </is>
      </c>
      <c r="B258" s="3" t="inlineStr">
        <is>
          <t>Equipo del cliente y roles</t>
        </is>
      </c>
      <c r="C258" s="2" t="inlineStr">
        <is>
          <t>Alta</t>
        </is>
      </c>
      <c r="D258" s="3" t="inlineStr">
        <is>
          <t>Owner agrega usuario</t>
        </is>
      </c>
      <c r="E258" s="3" t="inlineStr">
        <is>
          <t>Tab Usuarios → agregar con rol operator/approver</t>
        </is>
      </c>
      <c r="F258" s="3" t="inlineStr"/>
      <c r="G258" s="4" t="inlineStr"/>
      <c r="H258" s="5" t="inlineStr"/>
      <c r="I258" s="4" t="inlineStr"/>
      <c r="J258" s="6" t="inlineStr"/>
      <c r="K258" s="5" t="inlineStr"/>
    </row>
    <row r="259">
      <c r="A259" s="7" t="inlineStr">
        <is>
          <t>CP-USR-03</t>
        </is>
      </c>
      <c r="B259" s="8" t="inlineStr">
        <is>
          <t>Equipo del cliente y roles</t>
        </is>
      </c>
      <c r="C259" s="7" t="inlineStr">
        <is>
          <t>Media</t>
        </is>
      </c>
      <c r="D259" s="8" t="inlineStr">
        <is>
          <t>Tope de usuarios</t>
        </is>
      </c>
      <c r="E259" s="8" t="inlineStr">
        <is>
          <t>Agregar más allá de MAX_TEAM_USERS</t>
        </is>
      </c>
      <c r="F259" s="8" t="inlineStr"/>
      <c r="G259" s="4" t="inlineStr"/>
      <c r="H259" s="5" t="inlineStr"/>
      <c r="I259" s="4" t="inlineStr"/>
      <c r="J259" s="6" t="inlineStr"/>
      <c r="K259" s="5" t="inlineStr"/>
    </row>
    <row r="260">
      <c r="A260" s="2" t="inlineStr">
        <is>
          <t>CP-USR-04</t>
        </is>
      </c>
      <c r="B260" s="3" t="inlineStr">
        <is>
          <t>Equipo del cliente y roles</t>
        </is>
      </c>
      <c r="C260" s="2" t="inlineStr">
        <is>
          <t>Media</t>
        </is>
      </c>
      <c r="D260" s="3" t="inlineStr">
        <is>
          <t>Correo duplicado</t>
        </is>
      </c>
      <c r="E260" s="3" t="inlineStr">
        <is>
          <t>Agregar un correo que ya existe</t>
        </is>
      </c>
      <c r="F260" s="3" t="inlineStr"/>
      <c r="G260" s="4" t="inlineStr"/>
      <c r="H260" s="5" t="inlineStr"/>
      <c r="I260" s="4" t="inlineStr"/>
      <c r="J260" s="6" t="inlineStr"/>
      <c r="K260" s="5" t="inlineStr"/>
    </row>
    <row r="261">
      <c r="A261" s="7" t="inlineStr">
        <is>
          <t>CP-USR-05</t>
        </is>
      </c>
      <c r="B261" s="8" t="inlineStr">
        <is>
          <t>Equipo del cliente y roles</t>
        </is>
      </c>
      <c r="C261" s="7" t="inlineStr">
        <is>
          <t>Alta</t>
        </is>
      </c>
      <c r="D261" s="8" t="inlineStr">
        <is>
          <t>Solo el owner gestiona</t>
        </is>
      </c>
      <c r="E261" s="8" t="inlineStr">
        <is>
          <t>Un operator abre el tab Usuarios / llama la API</t>
        </is>
      </c>
      <c r="F261" s="8" t="inlineStr"/>
      <c r="G261" s="4" t="inlineStr"/>
      <c r="H261" s="5" t="inlineStr"/>
      <c r="I261" s="4" t="inlineStr"/>
      <c r="J261" s="6" t="inlineStr"/>
      <c r="K261" s="5" t="inlineStr"/>
    </row>
    <row r="262">
      <c r="A262" s="2" t="inlineStr">
        <is>
          <t>CP-USR-06</t>
        </is>
      </c>
      <c r="B262" s="3" t="inlineStr">
        <is>
          <t>Equipo del cliente y roles</t>
        </is>
      </c>
      <c r="C262" s="2" t="inlineStr">
        <is>
          <t>Media</t>
        </is>
      </c>
      <c r="D262" s="3" t="inlineStr">
        <is>
          <t>Eliminar usuario</t>
        </is>
      </c>
      <c r="E262" s="3" t="inlineStr">
        <is>
          <t>Eliminar un miembro del equipo</t>
        </is>
      </c>
      <c r="F262" s="3" t="inlineStr"/>
      <c r="G262" s="4" t="inlineStr"/>
      <c r="H262" s="5" t="inlineStr"/>
      <c r="I262" s="4" t="inlineStr"/>
      <c r="J262" s="6" t="inlineStr"/>
      <c r="K262" s="5" t="inlineStr"/>
    </row>
    <row r="263">
      <c r="A263" s="7" t="inlineStr">
        <is>
          <t>CP-USR-07</t>
        </is>
      </c>
      <c r="B263" s="8" t="inlineStr">
        <is>
          <t>Equipo del cliente y roles</t>
        </is>
      </c>
      <c r="C263" s="7" t="inlineStr">
        <is>
          <t>Media</t>
        </is>
      </c>
      <c r="D263" s="8" t="inlineStr">
        <is>
          <t>Definir contraseña</t>
        </is>
      </c>
      <c r="E263" s="8" t="inlineStr">
        <is>
          <t>Usuario nuevo usa "¿olvidaste tu contraseña?"</t>
        </is>
      </c>
      <c r="F263" s="8" t="inlineStr"/>
      <c r="G263" s="4" t="inlineStr"/>
      <c r="H263" s="5" t="inlineStr"/>
      <c r="I263" s="4" t="inlineStr"/>
      <c r="J263" s="6" t="inlineStr"/>
      <c r="K263" s="5" t="inlineStr"/>
    </row>
    <row r="264">
      <c r="A264" s="2" t="inlineStr">
        <is>
          <t>CP-USR-08</t>
        </is>
      </c>
      <c r="B264" s="3" t="inlineStr">
        <is>
          <t>Equipo del cliente y roles</t>
        </is>
      </c>
      <c r="C264" s="2" t="inlineStr">
        <is>
          <t>Alta</t>
        </is>
      </c>
      <c r="D264" s="3" t="inlineStr">
        <is>
          <t>Refresh preserva el sub-rol</t>
        </is>
      </c>
      <c r="E264" s="3" t="inlineStr">
        <is>
          <t>Loguear como operator, esperar el refresco del token e intentar aprobar</t>
        </is>
      </c>
      <c r="F264" s="3" t="inlineStr"/>
      <c r="G264" s="4" t="inlineStr"/>
      <c r="H264" s="5" t="inlineStr"/>
      <c r="I264" s="4" t="inlineStr"/>
      <c r="J264" s="6" t="inlineStr"/>
      <c r="K264" s="5" t="inlineStr"/>
    </row>
    <row r="265">
      <c r="A265" s="7" t="inlineStr">
        <is>
          <t>CP-DOM-01</t>
        </is>
      </c>
      <c r="B265" s="8" t="inlineStr">
        <is>
          <t>Dominios y correos remitentes</t>
        </is>
      </c>
      <c r="C265" s="7" t="inlineStr">
        <is>
          <t>Alta</t>
        </is>
      </c>
      <c r="D265" s="8" t="inlineStr">
        <is>
          <t>Agregar dominio</t>
        </is>
      </c>
      <c r="E265" s="8" t="inlineStr">
        <is>
          <t>Registrar empresa.com</t>
        </is>
      </c>
      <c r="F265" s="8" t="inlineStr"/>
      <c r="G265" s="4" t="inlineStr"/>
      <c r="H265" s="5" t="inlineStr"/>
      <c r="I265" s="4" t="inlineStr"/>
      <c r="J265" s="6" t="inlineStr"/>
      <c r="K265" s="5" t="inlineStr"/>
    </row>
    <row r="266">
      <c r="A266" s="2" t="inlineStr">
        <is>
          <t>CP-DOM-02</t>
        </is>
      </c>
      <c r="B266" s="3" t="inlineStr">
        <is>
          <t>Dominios y correos remitentes</t>
        </is>
      </c>
      <c r="C266" s="2" t="inlineStr">
        <is>
          <t>Alta</t>
        </is>
      </c>
      <c r="D266" s="3" t="inlineStr">
        <is>
          <t>Verificación tras publicar DNS</t>
        </is>
      </c>
      <c r="E266" s="3" t="inlineStr">
        <is>
          <t>Publicar los registros y refrescar la lista</t>
        </is>
      </c>
      <c r="F266" s="3" t="inlineStr"/>
      <c r="G266" s="4" t="inlineStr"/>
      <c r="H266" s="5" t="inlineStr"/>
      <c r="I266" s="4" t="inlineStr"/>
      <c r="J266" s="6" t="inlineStr"/>
      <c r="K266" s="5" t="inlineStr"/>
    </row>
    <row r="267">
      <c r="A267" s="7" t="inlineStr">
        <is>
          <t>CP-DOM-03</t>
        </is>
      </c>
      <c r="B267" s="8" t="inlineStr">
        <is>
          <t>Dominios y correos remitentes</t>
        </is>
      </c>
      <c r="C267" s="7" t="inlineStr">
        <is>
          <t>Alta</t>
        </is>
      </c>
      <c r="D267" s="8" t="inlineStr">
        <is>
          <t>Agregar correo</t>
        </is>
      </c>
      <c r="E267" s="8" t="inlineStr">
        <is>
          <t>Registrar ventas@empresa.com</t>
        </is>
      </c>
      <c r="F267" s="8" t="inlineStr"/>
      <c r="G267" s="4" t="inlineStr"/>
      <c r="H267" s="5" t="inlineStr"/>
      <c r="I267" s="4" t="inlineStr"/>
      <c r="J267" s="6" t="inlineStr"/>
      <c r="K267" s="5" t="inlineStr"/>
    </row>
    <row r="268">
      <c r="A268" s="2" t="inlineStr">
        <is>
          <t>CP-DOM-04</t>
        </is>
      </c>
      <c r="B268" s="3" t="inlineStr">
        <is>
          <t>Dominios y correos remitentes</t>
        </is>
      </c>
      <c r="C268" s="2" t="inlineStr">
        <is>
          <t>Media</t>
        </is>
      </c>
      <c r="D268" s="3" t="inlineStr">
        <is>
          <t>Reenviar verificación</t>
        </is>
      </c>
      <c r="E268" s="3" t="inlineStr">
        <is>
          <t>Volver a agregar un correo pendiente</t>
        </is>
      </c>
      <c r="F268" s="3" t="inlineStr"/>
      <c r="G268" s="4" t="inlineStr"/>
      <c r="H268" s="5" t="inlineStr"/>
      <c r="I268" s="4" t="inlineStr"/>
      <c r="J268" s="6" t="inlineStr"/>
      <c r="K268" s="5" t="inlineStr"/>
    </row>
    <row r="269">
      <c r="A269" s="7" t="inlineStr">
        <is>
          <t>CP-DOM-05</t>
        </is>
      </c>
      <c r="B269" s="8" t="inlineStr">
        <is>
          <t>Dominios y correos remitentes</t>
        </is>
      </c>
      <c r="C269" s="7" t="inlineStr">
        <is>
          <t>Alta</t>
        </is>
      </c>
      <c r="D269" s="8" t="inlineStr">
        <is>
          <t>Solo el owner</t>
        </is>
      </c>
      <c r="E269" s="8" t="inlineStr">
        <is>
          <t>operator intenta agregar o borrar un dominio (por API)</t>
        </is>
      </c>
      <c r="F269" s="8" t="inlineStr"/>
      <c r="G269" s="4" t="inlineStr"/>
      <c r="H269" s="5" t="inlineStr"/>
      <c r="I269" s="4" t="inlineStr"/>
      <c r="J269" s="6" t="inlineStr"/>
      <c r="K269" s="5" t="inlineStr"/>
    </row>
    <row r="270">
      <c r="A270" s="2" t="inlineStr">
        <is>
          <t>CP-DOM-06</t>
        </is>
      </c>
      <c r="B270" s="3" t="inlineStr">
        <is>
          <t>Dominios y correos remitentes</t>
        </is>
      </c>
      <c r="C270" s="2" t="inlineStr">
        <is>
          <t>Alta</t>
        </is>
      </c>
      <c r="D270" s="3" t="inlineStr">
        <is>
          <t>Anti-spoofing en la campaña</t>
        </is>
      </c>
      <c r="E270" s="3" t="inlineStr">
        <is>
          <t>Crear campaña con un from de un dominio que NO es del cliente</t>
        </is>
      </c>
      <c r="F270" s="3" t="inlineStr"/>
      <c r="G270" s="4" t="inlineStr"/>
      <c r="H270" s="5" t="inlineStr"/>
      <c r="I270" s="4" t="inlineStr"/>
      <c r="J270" s="6" t="inlineStr"/>
      <c r="K270" s="5" t="inlineStr"/>
    </row>
    <row r="271">
      <c r="A271" s="7" t="inlineStr">
        <is>
          <t>CP-DOM-07</t>
        </is>
      </c>
      <c r="B271" s="8" t="inlineStr">
        <is>
          <t>Dominios y correos remitentes</t>
        </is>
      </c>
      <c r="C271" s="7" t="inlineStr">
        <is>
          <t>Media</t>
        </is>
      </c>
      <c r="D271" s="8" t="inlineStr">
        <is>
          <t>Remitente verificado en el selector</t>
        </is>
      </c>
      <c r="E271" s="8" t="inlineStr">
        <is>
          <t>Crear campaña y abrir el selector "De (From)"</t>
        </is>
      </c>
      <c r="F271" s="8" t="inlineStr"/>
      <c r="G271" s="4" t="inlineStr"/>
      <c r="H271" s="5" t="inlineStr"/>
      <c r="I271" s="4" t="inlineStr"/>
      <c r="J271" s="6" t="inlineStr"/>
      <c r="K271" s="5" t="inlineStr"/>
    </row>
    <row r="272">
      <c r="A272" s="2" t="inlineStr">
        <is>
          <t>CP-DOM-08</t>
        </is>
      </c>
      <c r="B272" s="3" t="inlineStr">
        <is>
          <t>Dominios y correos remitentes</t>
        </is>
      </c>
      <c r="C272" s="2" t="inlineStr">
        <is>
          <t>Media</t>
        </is>
      </c>
      <c r="D272" s="3" t="inlineStr">
        <is>
          <t>Eliminar dominio</t>
        </is>
      </c>
      <c r="E272" s="3" t="inlineStr">
        <is>
          <t>Borrar un dominio verificado</t>
        </is>
      </c>
      <c r="F272" s="3" t="inlineStr"/>
      <c r="G272" s="4" t="inlineStr"/>
      <c r="H272" s="5" t="inlineStr"/>
      <c r="I272" s="4" t="inlineStr"/>
      <c r="J272" s="6" t="inlineStr"/>
      <c r="K272" s="5" t="inlineStr"/>
    </row>
    <row r="273">
      <c r="A273" s="7" t="inlineStr">
        <is>
          <t>CP-AUT-01</t>
        </is>
      </c>
      <c r="B273" s="8" t="inlineStr">
        <is>
          <t>Dominios y correos remitentes</t>
        </is>
      </c>
      <c r="C273" s="7" t="inlineStr">
        <is>
          <t>Alta</t>
        </is>
      </c>
      <c r="D273" s="8" t="inlineStr">
        <is>
          <t>DKIM verificado en verde</t>
        </is>
      </c>
      <c r="E273" s="8" t="inlineStr">
        <is>
          <t>Abrir el detalle de un dominio con DKIM firmando</t>
        </is>
      </c>
      <c r="F273" s="8" t="inlineStr"/>
      <c r="G273" s="4" t="inlineStr"/>
      <c r="H273" s="5" t="inlineStr"/>
      <c r="I273" s="4" t="inlineStr"/>
      <c r="J273" s="6" t="inlineStr"/>
      <c r="K273" s="5" t="inlineStr"/>
    </row>
    <row r="274">
      <c r="A274" s="2" t="inlineStr">
        <is>
          <t>CP-AUT-02</t>
        </is>
      </c>
      <c r="B274" s="3" t="inlineStr">
        <is>
          <t>Dominios y correos remitentes</t>
        </is>
      </c>
      <c r="C274" s="2" t="inlineStr">
        <is>
          <t>Media</t>
        </is>
      </c>
      <c r="D274" s="3" t="inlineStr">
        <is>
          <t>SPF/DMARC sin publicar en gris</t>
        </is>
      </c>
      <c r="E274" s="3" t="inlineStr">
        <is>
          <t>Abrir el detalle de un dominio recién creado</t>
        </is>
      </c>
      <c r="F274" s="3" t="inlineStr"/>
      <c r="G274" s="4" t="inlineStr"/>
      <c r="H274" s="5" t="inlineStr"/>
      <c r="I274" s="4" t="inlineStr"/>
      <c r="J274" s="6" t="inlineStr"/>
      <c r="K274" s="5" t="inlineStr"/>
    </row>
    <row r="275">
      <c r="A275" s="7" t="inlineStr">
        <is>
          <t>CP-AUT-03</t>
        </is>
      </c>
      <c r="B275" s="8" t="inlineStr">
        <is>
          <t>Dominios y correos remitentes</t>
        </is>
      </c>
      <c r="C275" s="7" t="inlineStr">
        <is>
          <t>Media</t>
        </is>
      </c>
      <c r="D275" s="8" t="inlineStr">
        <is>
          <t>SPF verde al publicarlo</t>
        </is>
      </c>
      <c r="E275" s="8" t="inlineStr">
        <is>
          <t>Publicar v=spf1 include:amazonses.com ~all y pulsar Actualizar estado</t>
        </is>
      </c>
      <c r="F275" s="8" t="inlineStr"/>
      <c r="G275" s="4" t="inlineStr"/>
      <c r="H275" s="5" t="inlineStr"/>
      <c r="I275" s="4" t="inlineStr"/>
      <c r="J275" s="6" t="inlineStr"/>
      <c r="K275" s="5" t="inlineStr"/>
    </row>
    <row r="276">
      <c r="A276" s="2" t="inlineStr">
        <is>
          <t>CP-AUT-04</t>
        </is>
      </c>
      <c r="B276" s="3" t="inlineStr">
        <is>
          <t>Dominios y correos remitentes</t>
        </is>
      </c>
      <c r="C276" s="2" t="inlineStr">
        <is>
          <t>Media</t>
        </is>
      </c>
      <c r="D276" s="3" t="inlineStr">
        <is>
          <t>DMARC verde al publicarlo</t>
        </is>
      </c>
      <c r="E276" s="3" t="inlineStr">
        <is>
          <t>Publicar _dmarc.&lt;dominio&gt; con v=DMARC1;… y actualizar</t>
        </is>
      </c>
      <c r="F276" s="3" t="inlineStr"/>
      <c r="G276" s="4" t="inlineStr"/>
      <c r="H276" s="5" t="inlineStr"/>
      <c r="I276" s="4" t="inlineStr"/>
      <c r="J276" s="6" t="inlineStr"/>
      <c r="K276" s="5" t="inlineStr"/>
    </row>
    <row r="277">
      <c r="A277" s="7" t="inlineStr">
        <is>
          <t>CP-AUT-05</t>
        </is>
      </c>
      <c r="B277" s="8" t="inlineStr">
        <is>
          <t>Dominios y correos remitentes</t>
        </is>
      </c>
      <c r="C277" s="7" t="inlineStr">
        <is>
          <t>Baja</t>
        </is>
      </c>
      <c r="D277" s="8" t="inlineStr">
        <is>
          <t>Tooltip explica el motivo</t>
        </is>
      </c>
      <c r="E277" s="8" t="inlineStr">
        <is>
          <t>Pasar el mouse sobre un chip gris</t>
        </is>
      </c>
      <c r="F277" s="8" t="inlineStr"/>
      <c r="G277" s="4" t="inlineStr"/>
      <c r="H277" s="5" t="inlineStr"/>
      <c r="I277" s="4" t="inlineStr"/>
      <c r="J277" s="6" t="inlineStr"/>
      <c r="K277" s="5" t="inlineStr"/>
    </row>
    <row r="278">
      <c r="A278" s="2" t="inlineStr">
        <is>
          <t>CP-AUT-06</t>
        </is>
      </c>
      <c r="B278" s="3" t="inlineStr">
        <is>
          <t>Dominios y correos remitentes</t>
        </is>
      </c>
      <c r="C278" s="2" t="inlineStr">
        <is>
          <t>Baja</t>
        </is>
      </c>
      <c r="D278" s="3" t="inlineStr">
        <is>
          <t>Sin el layer de DNS</t>
        </is>
      </c>
      <c r="E278" s="3" t="inlineStr">
        <is>
          <t>Con el layer de dnspython no desplegado, ver un dominio</t>
        </is>
      </c>
      <c r="F278" s="3" t="inlineStr"/>
      <c r="G278" s="4" t="inlineStr"/>
      <c r="H278" s="5" t="inlineStr"/>
      <c r="I278" s="4" t="inlineStr"/>
      <c r="J278" s="6" t="inlineStr"/>
      <c r="K278" s="5" t="inlineStr"/>
    </row>
    <row r="279">
      <c r="A279" s="7" t="inlineStr">
        <is>
          <t>CP-AUT-07</t>
        </is>
      </c>
      <c r="B279" s="8" t="inlineStr">
        <is>
          <t>Dominios y correos remitentes</t>
        </is>
      </c>
      <c r="C279" s="7" t="inlineStr">
        <is>
          <t>Baja</t>
        </is>
      </c>
      <c r="D279" s="8" t="inlineStr">
        <is>
          <t>Correos sueltos sin el panel</t>
        </is>
      </c>
      <c r="E279" s="8" t="inlineStr">
        <is>
          <t>Abrir el detalle de un remitente tipo correo (no dominio)</t>
        </is>
      </c>
      <c r="F279" s="8" t="inlineStr"/>
      <c r="G279" s="4" t="inlineStr"/>
      <c r="H279" s="5" t="inlineStr"/>
      <c r="I279" s="4" t="inlineStr"/>
      <c r="J279" s="6" t="inlineStr"/>
      <c r="K279" s="5" t="inlineStr"/>
    </row>
    <row r="280">
      <c r="A280" s="2" t="inlineStr">
        <is>
          <t>CP-AUT-08</t>
        </is>
      </c>
      <c r="B280" s="3" t="inlineStr">
        <is>
          <t>Dominios y correos remitentes</t>
        </is>
      </c>
      <c r="C280" s="2" t="inlineStr">
        <is>
          <t>Baja</t>
        </is>
      </c>
      <c r="D280" s="3" t="inlineStr">
        <is>
          <t>No es bloqueante</t>
        </is>
      </c>
      <c r="E280" s="3" t="inlineStr">
        <is>
          <t>Con SPF y DMARC en gris, intentar enviar una campaña real desde ese dominio verificado</t>
        </is>
      </c>
      <c r="F280" s="3" t="inlineStr"/>
      <c r="G280" s="4" t="inlineStr"/>
      <c r="H280" s="5" t="inlineStr"/>
      <c r="I280" s="4" t="inlineStr"/>
      <c r="J280" s="6" t="inlineStr"/>
      <c r="K280" s="5" t="inlineStr"/>
    </row>
    <row r="281">
      <c r="A281" s="7" t="inlineStr">
        <is>
          <t>CP-2FA-01</t>
        </is>
      </c>
      <c r="B281" s="8" t="inlineStr">
        <is>
          <t>Seguridad avanzada (2FA · bloqueo · revocación)</t>
        </is>
      </c>
      <c r="C281" s="7" t="inlineStr">
        <is>
          <t>Alta</t>
        </is>
      </c>
      <c r="D281" s="8" t="inlineStr">
        <is>
          <t>Activar 2FA</t>
        </is>
      </c>
      <c r="E281" s="8" t="inlineStr">
        <is>
          <t>Mi cuenta → escanear el QR con Google Authenticator → introducir el código</t>
        </is>
      </c>
      <c r="F281" s="8" t="inlineStr"/>
      <c r="G281" s="4" t="inlineStr"/>
      <c r="H281" s="5" t="inlineStr"/>
      <c r="I281" s="4" t="inlineStr"/>
      <c r="J281" s="6" t="inlineStr"/>
      <c r="K281" s="5" t="inlineStr"/>
    </row>
    <row r="282">
      <c r="A282" s="2" t="inlineStr">
        <is>
          <t>CP-2FA-02</t>
        </is>
      </c>
      <c r="B282" s="3" t="inlineStr">
        <is>
          <t>Seguridad avanzada (2FA · bloqueo · revocación)</t>
        </is>
      </c>
      <c r="C282" s="2" t="inlineStr">
        <is>
          <t>Alta</t>
        </is>
      </c>
      <c r="D282" s="3" t="inlineStr">
        <is>
          <t>Login con 2FA</t>
        </is>
      </c>
      <c r="E282" s="3" t="inlineStr">
        <is>
          <t>Loguear con usuario/clave de una cuenta con 2FA</t>
        </is>
      </c>
      <c r="F282" s="3" t="inlineStr"/>
      <c r="G282" s="4" t="inlineStr"/>
      <c r="H282" s="5" t="inlineStr"/>
      <c r="I282" s="4" t="inlineStr"/>
      <c r="J282" s="6" t="inlineStr"/>
      <c r="K282" s="5" t="inlineStr"/>
    </row>
    <row r="283">
      <c r="A283" s="7" t="inlineStr">
        <is>
          <t>CP-2FA-03</t>
        </is>
      </c>
      <c r="B283" s="8" t="inlineStr">
        <is>
          <t>Seguridad avanzada (2FA · bloqueo · revocación)</t>
        </is>
      </c>
      <c r="C283" s="7" t="inlineStr">
        <is>
          <t>Alta</t>
        </is>
      </c>
      <c r="D283" s="8" t="inlineStr">
        <is>
          <t>Código correcto</t>
        </is>
      </c>
      <c r="E283" s="8" t="inlineStr">
        <is>
          <t>Introducir el TOTP vigente</t>
        </is>
      </c>
      <c r="F283" s="8" t="inlineStr"/>
      <c r="G283" s="4" t="inlineStr"/>
      <c r="H283" s="5" t="inlineStr"/>
      <c r="I283" s="4" t="inlineStr"/>
      <c r="J283" s="6" t="inlineStr"/>
      <c r="K283" s="5" t="inlineStr"/>
    </row>
    <row r="284">
      <c r="A284" s="2" t="inlineStr">
        <is>
          <t>CP-2FA-04</t>
        </is>
      </c>
      <c r="B284" s="3" t="inlineStr">
        <is>
          <t>Seguridad avanzada (2FA · bloqueo · revocación)</t>
        </is>
      </c>
      <c r="C284" s="2" t="inlineStr">
        <is>
          <t>Alta</t>
        </is>
      </c>
      <c r="D284" s="3" t="inlineStr">
        <is>
          <t>Código de respaldo</t>
        </is>
      </c>
      <c r="E284" s="3" t="inlineStr">
        <is>
          <t>Entrar con un código de respaldo</t>
        </is>
      </c>
      <c r="F284" s="3" t="inlineStr"/>
      <c r="G284" s="4" t="inlineStr"/>
      <c r="H284" s="5" t="inlineStr"/>
      <c r="I284" s="4" t="inlineStr"/>
      <c r="J284" s="6" t="inlineStr"/>
      <c r="K284" s="5" t="inlineStr"/>
    </row>
    <row r="285">
      <c r="A285" s="7" t="inlineStr">
        <is>
          <t>CP-2FA-05</t>
        </is>
      </c>
      <c r="B285" s="8" t="inlineStr">
        <is>
          <t>Seguridad avanzada (2FA · bloqueo · revocación)</t>
        </is>
      </c>
      <c r="C285" s="7" t="inlineStr">
        <is>
          <t>Alta</t>
        </is>
      </c>
      <c r="D285" s="8" t="inlineStr">
        <is>
          <t>Anti-fuerza-bruta</t>
        </is>
      </c>
      <c r="E285" s="8" t="inlineStr">
        <is>
          <t>Fallar el código 5 veces</t>
        </is>
      </c>
      <c r="F285" s="8" t="inlineStr"/>
      <c r="G285" s="4" t="inlineStr"/>
      <c r="H285" s="5" t="inlineStr"/>
      <c r="I285" s="4" t="inlineStr"/>
      <c r="J285" s="6" t="inlineStr"/>
      <c r="K285" s="5" t="inlineStr"/>
    </row>
    <row r="286">
      <c r="A286" s="2" t="inlineStr">
        <is>
          <t>CP-2FA-06</t>
        </is>
      </c>
      <c r="B286" s="3" t="inlineStr">
        <is>
          <t>Seguridad avanzada (2FA · bloqueo · revocación)</t>
        </is>
      </c>
      <c r="C286" s="2" t="inlineStr">
        <is>
          <t>Media</t>
        </is>
      </c>
      <c r="D286" s="3" t="inlineStr">
        <is>
          <t>Desactivar 2FA</t>
        </is>
      </c>
      <c r="E286" s="3" t="inlineStr">
        <is>
          <t>Desactivar exigiendo un código válido</t>
        </is>
      </c>
      <c r="F286" s="3" t="inlineStr"/>
      <c r="G286" s="4" t="inlineStr"/>
      <c r="H286" s="5" t="inlineStr"/>
      <c r="I286" s="4" t="inlineStr"/>
      <c r="J286" s="6" t="inlineStr"/>
      <c r="K286" s="5" t="inlineStr"/>
    </row>
    <row r="287">
      <c r="A287" s="7" t="inlineStr">
        <is>
          <t>CP-2FA-07</t>
        </is>
      </c>
      <c r="B287" s="8" t="inlineStr">
        <is>
          <t>Seguridad avanzada (2FA · bloqueo · revocación)</t>
        </is>
      </c>
      <c r="C287" s="7" t="inlineStr">
        <is>
          <t>Media</t>
        </is>
      </c>
      <c r="D287" s="8" t="inlineStr">
        <is>
          <t>Auditoría del 2FA</t>
        </is>
      </c>
      <c r="E287" s="8" t="inlineStr">
        <is>
          <t>Activar y desactivar → tab Auditoría</t>
        </is>
      </c>
      <c r="F287" s="8" t="inlineStr"/>
      <c r="G287" s="4" t="inlineStr"/>
      <c r="H287" s="5" t="inlineStr"/>
      <c r="I287" s="4" t="inlineStr"/>
      <c r="J287" s="6" t="inlineStr"/>
      <c r="K287" s="5" t="inlineStr"/>
    </row>
    <row r="288">
      <c r="A288" s="2" t="inlineStr">
        <is>
          <t>CP-SEC-24</t>
        </is>
      </c>
      <c r="B288" s="3" t="inlineStr">
        <is>
          <t>Seguridad avanzada (2FA · bloqueo · revocación)</t>
        </is>
      </c>
      <c r="C288" s="2" t="inlineStr">
        <is>
          <t>Alta</t>
        </is>
      </c>
      <c r="D288" s="3" t="inlineStr">
        <is>
          <t>Bloqueo progresivo de login</t>
        </is>
      </c>
      <c r="E288" s="3" t="inlineStr">
        <is>
          <t>Fallar la contraseña 3 veces</t>
        </is>
      </c>
      <c r="F288" s="3" t="inlineStr"/>
      <c r="G288" s="4" t="inlineStr"/>
      <c r="H288" s="5" t="inlineStr"/>
      <c r="I288" s="4" t="inlineStr"/>
      <c r="J288" s="6" t="inlineStr"/>
      <c r="K288" s="5" t="inlineStr"/>
    </row>
    <row r="289">
      <c r="A289" s="7" t="inlineStr">
        <is>
          <t>CP-SEC-25</t>
        </is>
      </c>
      <c r="B289" s="8" t="inlineStr">
        <is>
          <t>Seguridad avanzada (2FA · bloqueo · revocación)</t>
        </is>
      </c>
      <c r="C289" s="7" t="inlineStr">
        <is>
          <t>Alta</t>
        </is>
      </c>
      <c r="D289" s="8" t="inlineStr">
        <is>
          <t>Escalada del bloqueo</t>
        </is>
      </c>
      <c r="E289" s="8" t="inlineStr">
        <is>
          <t>Tras los 5 min, fallar otra vez, y otra</t>
        </is>
      </c>
      <c r="F289" s="8" t="inlineStr"/>
      <c r="G289" s="4" t="inlineStr"/>
      <c r="H289" s="5" t="inlineStr"/>
      <c r="I289" s="4" t="inlineStr"/>
      <c r="J289" s="6" t="inlineStr"/>
      <c r="K289" s="5" t="inlineStr"/>
    </row>
    <row r="290">
      <c r="A290" s="2" t="inlineStr">
        <is>
          <t>CP-SEC-26</t>
        </is>
      </c>
      <c r="B290" s="3" t="inlineStr">
        <is>
          <t>Seguridad avanzada (2FA · bloqueo · revocación)</t>
        </is>
      </c>
      <c r="C290" s="2" t="inlineStr">
        <is>
          <t>Alta</t>
        </is>
      </c>
      <c r="D290" s="3" t="inlineStr">
        <is>
          <t>Bloqueo con clave correcta</t>
        </is>
      </c>
      <c r="E290" s="3" t="inlineStr">
        <is>
          <t>Con bloqueo vigente, entrar con la clave CORRECTA</t>
        </is>
      </c>
      <c r="F290" s="3" t="inlineStr"/>
      <c r="G290" s="4" t="inlineStr"/>
      <c r="H290" s="5" t="inlineStr"/>
      <c r="I290" s="4" t="inlineStr"/>
      <c r="J290" s="6" t="inlineStr"/>
      <c r="K290" s="5" t="inlineStr"/>
    </row>
    <row r="291">
      <c r="A291" s="7" t="inlineStr">
        <is>
          <t>CP-SEC-27</t>
        </is>
      </c>
      <c r="B291" s="8" t="inlineStr">
        <is>
          <t>Seguridad avanzada (2FA · bloqueo · revocación)</t>
        </is>
      </c>
      <c r="C291" s="7" t="inlineStr">
        <is>
          <t>Media</t>
        </is>
      </c>
      <c r="D291" s="8" t="inlineStr">
        <is>
          <t>Reset del contador</t>
        </is>
      </c>
      <c r="E291" s="8" t="inlineStr">
        <is>
          <t>Login correcto con la cuenta desbloqueada</t>
        </is>
      </c>
      <c r="F291" s="8" t="inlineStr"/>
      <c r="G291" s="4" t="inlineStr"/>
      <c r="H291" s="5" t="inlineStr"/>
      <c r="I291" s="4" t="inlineStr"/>
      <c r="J291" s="6" t="inlineStr"/>
      <c r="K291" s="5" t="inlineStr"/>
    </row>
    <row r="292">
      <c r="A292" s="2" t="inlineStr">
        <is>
          <t>CP-SEC-28</t>
        </is>
      </c>
      <c r="B292" s="3" t="inlineStr">
        <is>
          <t>Seguridad avanzada (2FA · bloqueo · revocación)</t>
        </is>
      </c>
      <c r="C292" s="2" t="inlineStr">
        <is>
          <t>Alta</t>
        </is>
      </c>
      <c r="D292" s="3" t="inlineStr">
        <is>
          <t>Revocación real de tokens</t>
        </is>
      </c>
      <c r="E292" s="3" t="inlineStr">
        <is>
          <t>Loguear, copiar el token, cerrar sesión y usar el token viejo en la API</t>
        </is>
      </c>
      <c r="F292" s="3" t="inlineStr"/>
      <c r="G292" s="4" t="inlineStr"/>
      <c r="H292" s="5" t="inlineStr"/>
      <c r="I292" s="4" t="inlineStr"/>
      <c r="J292" s="6" t="inlineStr"/>
      <c r="K292" s="5" t="inlineStr"/>
    </row>
    <row r="293">
      <c r="A293" s="7" t="inlineStr">
        <is>
          <t>CP-SEC-29</t>
        </is>
      </c>
      <c r="B293" s="8" t="inlineStr">
        <is>
          <t>Seguridad avanzada (2FA · bloqueo · revocación)</t>
        </is>
      </c>
      <c r="C293" s="7" t="inlineStr">
        <is>
          <t>Alta</t>
        </is>
      </c>
      <c r="D293" s="8" t="inlineStr">
        <is>
          <t>Cambio de clave revoca</t>
        </is>
      </c>
      <c r="E293" s="8" t="inlineStr">
        <is>
          <t>Cambiar la contraseña y usar un token emitido antes</t>
        </is>
      </c>
      <c r="F293" s="8" t="inlineStr"/>
      <c r="G293" s="4" t="inlineStr"/>
      <c r="H293" s="5" t="inlineStr"/>
      <c r="I293" s="4" t="inlineStr"/>
      <c r="J293" s="6" t="inlineStr"/>
      <c r="K293" s="5" t="inlineStr"/>
    </row>
    <row r="294">
      <c r="A294" s="2" t="inlineStr">
        <is>
          <t>CP-SEC-30</t>
        </is>
      </c>
      <c r="B294" s="3" t="inlineStr">
        <is>
          <t>Seguridad avanzada (2FA · bloqueo · revocación)</t>
        </is>
      </c>
      <c r="C294" s="2" t="inlineStr">
        <is>
          <t>Alta</t>
        </is>
      </c>
      <c r="D294" s="3" t="inlineStr">
        <is>
          <t>Segunda barrera admin</t>
        </is>
      </c>
      <c r="E294" s="3" t="inlineStr">
        <is>
          <t>Llamar una ruta admin con el context falsificado pero SIN token válido</t>
        </is>
      </c>
      <c r="F294" s="3" t="inlineStr"/>
      <c r="G294" s="4" t="inlineStr"/>
      <c r="H294" s="5" t="inlineStr"/>
      <c r="I294" s="4" t="inlineStr"/>
      <c r="J294" s="6" t="inlineStr"/>
      <c r="K294" s="5" t="inlineStr"/>
    </row>
    <row r="295">
      <c r="A295" s="7" t="inlineStr">
        <is>
          <t>CP-SEC-31</t>
        </is>
      </c>
      <c r="B295" s="8" t="inlineStr">
        <is>
          <t>Seguridad avanzada (2FA · bloqueo · revocación)</t>
        </is>
      </c>
      <c r="C295" s="7" t="inlineStr">
        <is>
          <t>Alta</t>
        </is>
      </c>
      <c r="D295" s="8" t="inlineStr">
        <is>
          <t>Token de cliente en ruta admin</t>
        </is>
      </c>
      <c r="E295" s="8" t="inlineStr">
        <is>
          <t>Llamar /Customer/List con un token role=client</t>
        </is>
      </c>
      <c r="F295" s="8" t="inlineStr"/>
      <c r="G295" s="4" t="inlineStr"/>
      <c r="H295" s="5" t="inlineStr"/>
      <c r="I295" s="4" t="inlineStr"/>
      <c r="J295" s="6" t="inlineStr"/>
      <c r="K295" s="5" t="inlineStr"/>
    </row>
    <row r="296">
      <c r="A296" s="2" t="inlineStr">
        <is>
          <t>CP-SEC-32</t>
        </is>
      </c>
      <c r="B296" s="3" t="inlineStr">
        <is>
          <t>Seguridad avanzada (2FA · bloqueo · revocación)</t>
        </is>
      </c>
      <c r="C296" s="2" t="inlineStr">
        <is>
          <t>Media</t>
        </is>
      </c>
      <c r="D296" s="3" t="inlineStr">
        <is>
          <t>Sesión por pestaña</t>
        </is>
      </c>
      <c r="E296" s="3" t="inlineStr">
        <is>
          <t>Cerrar la pestaña y volver a abrir la app</t>
        </is>
      </c>
      <c r="F296" s="3" t="inlineStr"/>
      <c r="G296" s="4" t="inlineStr"/>
      <c r="H296" s="5" t="inlineStr"/>
      <c r="I296" s="4" t="inlineStr"/>
      <c r="J296" s="6" t="inlineStr"/>
      <c r="K296" s="5" t="inlineStr"/>
    </row>
    <row r="297">
      <c r="A297" s="7" t="inlineStr">
        <is>
          <t>CP-SEC-33</t>
        </is>
      </c>
      <c r="B297" s="8" t="inlineStr">
        <is>
          <t>Seguridad avanzada (2FA · bloqueo · revocación)</t>
        </is>
      </c>
      <c r="C297" s="7" t="inlineStr">
        <is>
          <t>Media</t>
        </is>
      </c>
      <c r="D297" s="8" t="inlineStr">
        <is>
          <t>Sesión compartida entre pestañas</t>
        </is>
      </c>
      <c r="E297" s="8" t="inlineStr">
        <is>
          <t>Con sesión abierta, abrir una pestaña nueva de la app</t>
        </is>
      </c>
      <c r="F297" s="8" t="inlineStr"/>
      <c r="G297" s="4" t="inlineStr"/>
      <c r="H297" s="5" t="inlineStr"/>
      <c r="I297" s="4" t="inlineStr"/>
      <c r="J297" s="6" t="inlineStr"/>
      <c r="K297" s="5" t="inlineStr"/>
    </row>
    <row r="298">
      <c r="A298" s="2" t="inlineStr">
        <is>
          <t>CP-SEC-34</t>
        </is>
      </c>
      <c r="B298" s="3" t="inlineStr">
        <is>
          <t>Seguridad avanzada (2FA · bloqueo · revocación)</t>
        </is>
      </c>
      <c r="C298" s="2" t="inlineStr">
        <is>
          <t>Media</t>
        </is>
      </c>
      <c r="D298" s="3" t="inlineStr">
        <is>
          <t>Logout difundido</t>
        </is>
      </c>
      <c r="E298" s="3" t="inlineStr">
        <is>
          <t>Cerrar sesión en una pestaña con otras abiertas</t>
        </is>
      </c>
      <c r="F298" s="3" t="inlineStr"/>
      <c r="G298" s="4" t="inlineStr"/>
      <c r="H298" s="5" t="inlineStr"/>
      <c r="I298" s="4" t="inlineStr"/>
      <c r="J298" s="6" t="inlineStr"/>
      <c r="K298" s="5" t="inlineStr"/>
    </row>
    <row r="299">
      <c r="A299" s="7" t="inlineStr">
        <is>
          <t>CP-CMD-01</t>
        </is>
      </c>
      <c r="B299" s="8" t="inlineStr">
        <is>
          <t>Admin — Centro de mando, salud, soporte e impersonación</t>
        </is>
      </c>
      <c r="C299" s="7" t="inlineStr">
        <is>
          <t>Alta</t>
        </is>
      </c>
      <c r="D299" s="8" t="inlineStr">
        <is>
          <t>Centro de mando carga</t>
        </is>
      </c>
      <c r="E299" s="8" t="inlineStr">
        <is>
          <t>Entrar a /admin</t>
        </is>
      </c>
      <c r="F299" s="8" t="inlineStr"/>
      <c r="G299" s="4" t="inlineStr"/>
      <c r="H299" s="5" t="inlineStr"/>
      <c r="I299" s="4" t="inlineStr"/>
      <c r="J299" s="6" t="inlineStr"/>
      <c r="K299" s="5" t="inlineStr"/>
    </row>
    <row r="300">
      <c r="A300" s="2" t="inlineStr">
        <is>
          <t>CP-CMD-02</t>
        </is>
      </c>
      <c r="B300" s="3" t="inlineStr">
        <is>
          <t>Admin — Centro de mando, salud, soporte e impersonación</t>
        </is>
      </c>
      <c r="C300" s="2" t="inlineStr">
        <is>
          <t>Alta</t>
        </is>
      </c>
      <c r="D300" s="3" t="inlineStr">
        <is>
          <t>Procesos atascados</t>
        </is>
      </c>
      <c r="E300" s="3" t="inlineStr">
        <is>
          <t>Con un proceso en Enviando desde hace &gt; 2 h</t>
        </is>
      </c>
      <c r="F300" s="3" t="inlineStr"/>
      <c r="G300" s="4" t="inlineStr"/>
      <c r="H300" s="5" t="inlineStr"/>
      <c r="I300" s="4" t="inlineStr"/>
      <c r="J300" s="6" t="inlineStr"/>
      <c r="K300" s="5" t="inlineStr"/>
    </row>
    <row r="301">
      <c r="A301" s="7" t="inlineStr">
        <is>
          <t>CP-CMD-03</t>
        </is>
      </c>
      <c r="B301" s="8" t="inlineStr">
        <is>
          <t>Admin — Centro de mando, salud, soporte e impersonación</t>
        </is>
      </c>
      <c r="C301" s="7" t="inlineStr">
        <is>
          <t>Alta</t>
        </is>
      </c>
      <c r="D301" s="8" t="inlineStr">
        <is>
          <t>DLQ con mensajes = crítico</t>
        </is>
      </c>
      <c r="E301" s="8" t="inlineStr">
        <is>
          <t>Meter un mensaje en una DLQ</t>
        </is>
      </c>
      <c r="F301" s="8" t="inlineStr"/>
      <c r="G301" s="4" t="inlineStr"/>
      <c r="H301" s="5" t="inlineStr"/>
      <c r="I301" s="4" t="inlineStr"/>
      <c r="J301" s="6" t="inlineStr"/>
      <c r="K301" s="5" t="inlineStr"/>
    </row>
    <row r="302">
      <c r="A302" s="2" t="inlineStr">
        <is>
          <t>CP-CMD-04</t>
        </is>
      </c>
      <c r="B302" s="3" t="inlineStr">
        <is>
          <t>Admin — Centro de mando, salud, soporte e impersonación</t>
        </is>
      </c>
      <c r="C302" s="2" t="inlineStr">
        <is>
          <t>Media</t>
        </is>
      </c>
      <c r="D302" s="3" t="inlineStr">
        <is>
          <t>Dinero del día</t>
        </is>
      </c>
      <c r="E302" s="3" t="inlineStr">
        <is>
          <t>Revisar débitos/recargas de hoy</t>
        </is>
      </c>
      <c r="F302" s="3" t="inlineStr"/>
      <c r="G302" s="4" t="inlineStr"/>
      <c r="H302" s="5" t="inlineStr"/>
      <c r="I302" s="4" t="inlineStr"/>
      <c r="J302" s="6" t="inlineStr"/>
      <c r="K302" s="5" t="inlineStr"/>
    </row>
    <row r="303">
      <c r="A303" s="7" t="inlineStr">
        <is>
          <t>CP-CMD-05</t>
        </is>
      </c>
      <c r="B303" s="8" t="inlineStr">
        <is>
          <t>Admin — Centro de mando, salud, soporte e impersonación</t>
        </is>
      </c>
      <c r="C303" s="7" t="inlineStr">
        <is>
          <t>Alta</t>
        </is>
      </c>
      <c r="D303" s="8" t="inlineStr">
        <is>
          <t>Saldo de plataforma sin huérfanos</t>
        </is>
      </c>
      <c r="E303" s="8" t="inlineStr">
        <is>
          <t>Comparar "Saldo total" del centro de mando con el tab Saldos</t>
        </is>
      </c>
      <c r="F303" s="8" t="inlineStr"/>
      <c r="G303" s="4" t="inlineStr"/>
      <c r="H303" s="5" t="inlineStr"/>
      <c r="I303" s="4" t="inlineStr"/>
      <c r="J303" s="6" t="inlineStr"/>
      <c r="K303" s="5" t="inlineStr"/>
    </row>
    <row r="304">
      <c r="A304" s="2" t="inlineStr">
        <is>
          <t>CP-CMD-06</t>
        </is>
      </c>
      <c r="B304" s="3" t="inlineStr">
        <is>
          <t>Admin — Centro de mando, salud, soporte e impersonación</t>
        </is>
      </c>
      <c r="C304" s="2" t="inlineStr">
        <is>
          <t>Media</t>
        </is>
      </c>
      <c r="D304" s="3" t="inlineStr">
        <is>
          <t>Reputación con tendencia</t>
        </is>
      </c>
      <c r="E304" s="3" t="inlineStr">
        <is>
          <t>Sección de reputación</t>
        </is>
      </c>
      <c r="F304" s="3" t="inlineStr"/>
      <c r="G304" s="4" t="inlineStr"/>
      <c r="H304" s="5" t="inlineStr"/>
      <c r="I304" s="4" t="inlineStr"/>
      <c r="J304" s="6" t="inlineStr"/>
      <c r="K304" s="5" t="inlineStr"/>
    </row>
    <row r="305">
      <c r="A305" s="7" t="inlineStr">
        <is>
          <t>CP-CMD-07</t>
        </is>
      </c>
      <c r="B305" s="8" t="inlineStr">
        <is>
          <t>Admin — Centro de mando, salud, soporte e impersonación</t>
        </is>
      </c>
      <c r="C305" s="7" t="inlineStr">
        <is>
          <t>Media</t>
        </is>
      </c>
      <c r="D305" s="8" t="inlineStr">
        <is>
          <t>Salud de servicios</t>
        </is>
      </c>
      <c r="E305" s="8" t="inlineStr">
        <is>
          <t>Revisar la cuota SES y las tablas/colas</t>
        </is>
      </c>
      <c r="F305" s="8" t="inlineStr"/>
      <c r="G305" s="4" t="inlineStr"/>
      <c r="H305" s="5" t="inlineStr"/>
      <c r="I305" s="4" t="inlineStr"/>
      <c r="J305" s="6" t="inlineStr"/>
      <c r="K305" s="5" t="inlineStr"/>
    </row>
    <row r="306">
      <c r="A306" s="2" t="inlineStr">
        <is>
          <t>CP-CMD-08</t>
        </is>
      </c>
      <c r="B306" s="3" t="inlineStr">
        <is>
          <t>Admin — Centro de mando, salud, soporte e impersonación</t>
        </is>
      </c>
      <c r="C306" s="2" t="inlineStr">
        <is>
          <t>Baja</t>
        </is>
      </c>
      <c r="D306" s="3" t="inlineStr">
        <is>
          <t>Auto-refresco</t>
        </is>
      </c>
      <c r="E306" s="3" t="inlineStr">
        <is>
          <t>Dejar el switch de auto-refresco activo</t>
        </is>
      </c>
      <c r="F306" s="3" t="inlineStr"/>
      <c r="G306" s="4" t="inlineStr"/>
      <c r="H306" s="5" t="inlineStr"/>
      <c r="I306" s="4" t="inlineStr"/>
      <c r="J306" s="6" t="inlineStr"/>
      <c r="K306" s="5" t="inlineStr"/>
    </row>
    <row r="307">
      <c r="A307" s="7" t="inlineStr">
        <is>
          <t>CP-DEP-01</t>
        </is>
      </c>
      <c r="B307" s="8" t="inlineStr">
        <is>
          <t>Admin — Centro de mando, salud, soporte e impersonación</t>
        </is>
      </c>
      <c r="C307" s="7" t="inlineStr">
        <is>
          <t>Alta</t>
        </is>
      </c>
      <c r="D307" s="8" t="inlineStr">
        <is>
          <t>Salud de despliegue</t>
        </is>
      </c>
      <c r="E307" s="8" t="inlineStr">
        <is>
          <t>Abrir el tab y esperar la verificación</t>
        </is>
      </c>
      <c r="F307" s="8" t="inlineStr"/>
      <c r="G307" s="4" t="inlineStr"/>
      <c r="H307" s="5" t="inlineStr"/>
      <c r="I307" s="4" t="inlineStr"/>
      <c r="J307" s="6" t="inlineStr"/>
      <c r="K307" s="5" t="inlineStr"/>
    </row>
    <row r="308">
      <c r="A308" s="2" t="inlineStr">
        <is>
          <t>CP-DEP-02</t>
        </is>
      </c>
      <c r="B308" s="3" t="inlineStr">
        <is>
          <t>Admin — Centro de mando, salud, soporte e impersonación</t>
        </is>
      </c>
      <c r="C308" s="2" t="inlineStr">
        <is>
          <t>Alta</t>
        </is>
      </c>
      <c r="D308" s="3" t="inlineStr">
        <is>
          <t>Recurso faltante</t>
        </is>
      </c>
      <c r="E308" s="3" t="inlineStr">
        <is>
          <t>Con una tabla crítica sin crear</t>
        </is>
      </c>
      <c r="F308" s="3" t="inlineStr"/>
      <c r="G308" s="4" t="inlineStr"/>
      <c r="H308" s="5" t="inlineStr"/>
      <c r="I308" s="4" t="inlineStr"/>
      <c r="J308" s="6" t="inlineStr"/>
      <c r="K308" s="5" t="inlineStr"/>
    </row>
    <row r="309">
      <c r="A309" s="7" t="inlineStr">
        <is>
          <t>CP-DEP-03</t>
        </is>
      </c>
      <c r="B309" s="8" t="inlineStr">
        <is>
          <t>Admin — Centro de mando, salud, soporte e impersonación</t>
        </is>
      </c>
      <c r="C309" s="7" t="inlineStr">
        <is>
          <t>Media</t>
        </is>
      </c>
      <c r="D309" s="8" t="inlineStr">
        <is>
          <t>Sin permiso IAM ≠ faltante</t>
        </is>
      </c>
      <c r="E309" s="8" t="inlineStr">
        <is>
          <t>Quitar el permiso de lectura de lambdas</t>
        </is>
      </c>
      <c r="F309" s="8" t="inlineStr"/>
      <c r="G309" s="4" t="inlineStr"/>
      <c r="H309" s="5" t="inlineStr"/>
      <c r="I309" s="4" t="inlineStr"/>
      <c r="J309" s="6" t="inlineStr"/>
      <c r="K309" s="5" t="inlineStr"/>
    </row>
    <row r="310">
      <c r="A310" s="2" t="inlineStr">
        <is>
          <t>CP-DEP-04</t>
        </is>
      </c>
      <c r="B310" s="3" t="inlineStr">
        <is>
          <t>Admin — Centro de mando, salud, soporte e impersonación</t>
        </is>
      </c>
      <c r="C310" s="2" t="inlineStr">
        <is>
          <t>Baja</t>
        </is>
      </c>
      <c r="D310" s="3" t="inlineStr">
        <is>
          <t>Carga no bloqueante</t>
        </is>
      </c>
      <c r="E310" s="3" t="inlineStr">
        <is>
          <t>Abrir el tab</t>
        </is>
      </c>
      <c r="F310" s="3" t="inlineStr"/>
      <c r="G310" s="4" t="inlineStr"/>
      <c r="H310" s="5" t="inlineStr"/>
      <c r="I310" s="4" t="inlineStr"/>
      <c r="J310" s="6" t="inlineStr"/>
      <c r="K310" s="5" t="inlineStr"/>
    </row>
    <row r="311">
      <c r="A311" s="7" t="inlineStr">
        <is>
          <t>CP-SOP-01</t>
        </is>
      </c>
      <c r="B311" s="8" t="inlineStr">
        <is>
          <t>Admin — Centro de mando, salud, soporte e impersonación</t>
        </is>
      </c>
      <c r="C311" s="7" t="inlineStr">
        <is>
          <t>Alta</t>
        </is>
      </c>
      <c r="D311" s="8" t="inlineStr">
        <is>
          <t>Buscar destinatario</t>
        </is>
      </c>
      <c r="E311" s="8" t="inlineStr">
        <is>
          <t>Soporte → buscar un correo de un cliente</t>
        </is>
      </c>
      <c r="F311" s="8" t="inlineStr"/>
      <c r="G311" s="4" t="inlineStr"/>
      <c r="H311" s="5" t="inlineStr"/>
      <c r="I311" s="4" t="inlineStr"/>
      <c r="J311" s="6" t="inlineStr"/>
      <c r="K311" s="5" t="inlineStr"/>
    </row>
    <row r="312">
      <c r="A312" s="2" t="inlineStr">
        <is>
          <t>CP-SOP-02</t>
        </is>
      </c>
      <c r="B312" s="3" t="inlineStr">
        <is>
          <t>Admin — Centro de mando, salud, soporte e impersonación</t>
        </is>
      </c>
      <c r="C312" s="2" t="inlineStr">
        <is>
          <t>Media</t>
        </is>
      </c>
      <c r="D312" s="3" t="inlineStr">
        <is>
          <t>Buscar por celular</t>
        </is>
      </c>
      <c r="E312" s="3" t="inlineStr">
        <is>
          <t>Buscar 3001234567 sin prefijo</t>
        </is>
      </c>
      <c r="F312" s="3" t="inlineStr"/>
      <c r="G312" s="4" t="inlineStr"/>
      <c r="H312" s="5" t="inlineStr"/>
      <c r="I312" s="4" t="inlineStr"/>
      <c r="J312" s="6" t="inlineStr"/>
      <c r="K312" s="5" t="inlineStr"/>
    </row>
    <row r="313">
      <c r="A313" s="7" t="inlineStr">
        <is>
          <t>CP-SOP-03</t>
        </is>
      </c>
      <c r="B313" s="8" t="inlineStr">
        <is>
          <t>Admin — Centro de mando, salud, soporte e impersonación</t>
        </is>
      </c>
      <c r="C313" s="7" t="inlineStr">
        <is>
          <t>Media</t>
        </is>
      </c>
      <c r="D313" s="8" t="inlineStr">
        <is>
          <t>Banderas de listas</t>
        </is>
      </c>
      <c r="E313" s="8" t="inlineStr">
        <is>
          <t>Buscar un contacto en lista negra / desuscrito</t>
        </is>
      </c>
      <c r="F313" s="8" t="inlineStr"/>
      <c r="G313" s="4" t="inlineStr"/>
      <c r="H313" s="5" t="inlineStr"/>
      <c r="I313" s="4" t="inlineStr"/>
      <c r="J313" s="6" t="inlineStr"/>
      <c r="K313" s="5" t="inlineStr"/>
    </row>
    <row r="314">
      <c r="A314" s="2" t="inlineStr">
        <is>
          <t>CP-SOP-04</t>
        </is>
      </c>
      <c r="B314" s="3" t="inlineStr">
        <is>
          <t>Admin — Centro de mando, salud, soporte e impersonación</t>
        </is>
      </c>
      <c r="C314" s="2" t="inlineStr">
        <is>
          <t>Alta</t>
        </is>
      </c>
      <c r="D314" s="3" t="inlineStr">
        <is>
          <t>Reenviar activación</t>
        </is>
      </c>
      <c r="E314" s="3" t="inlineStr">
        <is>
          <t>Ficha de cliente → reenviar activación a una cuenta inactiva</t>
        </is>
      </c>
      <c r="F314" s="3" t="inlineStr"/>
      <c r="G314" s="4" t="inlineStr"/>
      <c r="H314" s="5" t="inlineStr"/>
      <c r="I314" s="4" t="inlineStr"/>
      <c r="J314" s="6" t="inlineStr"/>
      <c r="K314" s="5" t="inlineStr"/>
    </row>
    <row r="315">
      <c r="A315" s="7" t="inlineStr">
        <is>
          <t>CP-SOP-05</t>
        </is>
      </c>
      <c r="B315" s="8" t="inlineStr">
        <is>
          <t>Admin — Centro de mando, salud, soporte e impersonación</t>
        </is>
      </c>
      <c r="C315" s="7" t="inlineStr">
        <is>
          <t>Media</t>
        </is>
      </c>
      <c r="D315" s="8" t="inlineStr">
        <is>
          <t>Activación en cuenta ya activa</t>
        </is>
      </c>
      <c r="E315" s="8" t="inlineStr">
        <is>
          <t>Reenviar activación a una cuenta activa</t>
        </is>
      </c>
      <c r="F315" s="8" t="inlineStr"/>
      <c r="G315" s="4" t="inlineStr"/>
      <c r="H315" s="5" t="inlineStr"/>
      <c r="I315" s="4" t="inlineStr"/>
      <c r="J315" s="6" t="inlineStr"/>
      <c r="K315" s="5" t="inlineStr"/>
    </row>
    <row r="316">
      <c r="A316" s="2" t="inlineStr">
        <is>
          <t>CP-SOP-06</t>
        </is>
      </c>
      <c r="B316" s="3" t="inlineStr">
        <is>
          <t>Admin — Centro de mando, salud, soporte e impersonación</t>
        </is>
      </c>
      <c r="C316" s="2" t="inlineStr">
        <is>
          <t>Alta</t>
        </is>
      </c>
      <c r="D316" s="3" t="inlineStr">
        <is>
          <t>Forzar reseteo</t>
        </is>
      </c>
      <c r="E316" s="3" t="inlineStr">
        <is>
          <t>Ficha → forzar reseteo de contraseña</t>
        </is>
      </c>
      <c r="F316" s="3" t="inlineStr"/>
      <c r="G316" s="4" t="inlineStr"/>
      <c r="H316" s="5" t="inlineStr"/>
      <c r="I316" s="4" t="inlineStr"/>
      <c r="J316" s="6" t="inlineStr"/>
      <c r="K316" s="5" t="inlineStr"/>
    </row>
    <row r="317">
      <c r="A317" s="7" t="inlineStr">
        <is>
          <t>CP-SOP-07</t>
        </is>
      </c>
      <c r="B317" s="8" t="inlineStr">
        <is>
          <t>Admin — Centro de mando, salud, soporte e impersonación</t>
        </is>
      </c>
      <c r="C317" s="7" t="inlineStr">
        <is>
          <t>Alta</t>
        </is>
      </c>
      <c r="D317" s="8" t="inlineStr">
        <is>
          <t>Cerrar sesiones</t>
        </is>
      </c>
      <c r="E317" s="8" t="inlineStr">
        <is>
          <t>Ficha → cerrar sesiones de un usuario</t>
        </is>
      </c>
      <c r="F317" s="8" t="inlineStr"/>
      <c r="G317" s="4" t="inlineStr"/>
      <c r="H317" s="5" t="inlineStr"/>
      <c r="I317" s="4" t="inlineStr"/>
      <c r="J317" s="6" t="inlineStr"/>
      <c r="K317" s="5" t="inlineStr"/>
    </row>
    <row r="318">
      <c r="A318" s="2" t="inlineStr">
        <is>
          <t>CP-SOP-08</t>
        </is>
      </c>
      <c r="B318" s="3" t="inlineStr">
        <is>
          <t>Admin — Centro de mando, salud, soporte e impersonación</t>
        </is>
      </c>
      <c r="C318" s="2" t="inlineStr">
        <is>
          <t>Media</t>
        </is>
      </c>
      <c r="D318" s="3" t="inlineStr">
        <is>
          <t>Plantillas SES globales</t>
        </is>
      </c>
      <c r="E318" s="3" t="inlineStr">
        <is>
          <t>Soporte → Plantillas SES</t>
        </is>
      </c>
      <c r="F318" s="3" t="inlineStr"/>
      <c r="G318" s="4" t="inlineStr"/>
      <c r="H318" s="5" t="inlineStr"/>
      <c r="I318" s="4" t="inlineStr"/>
      <c r="J318" s="6" t="inlineStr"/>
      <c r="K318" s="5" t="inlineStr"/>
    </row>
    <row r="319">
      <c r="A319" s="7" t="inlineStr">
        <is>
          <t>CP-SOP-09</t>
        </is>
      </c>
      <c r="B319" s="8" t="inlineStr">
        <is>
          <t>Admin — Centro de mando, salud, soporte e impersonación</t>
        </is>
      </c>
      <c r="C319" s="7" t="inlineStr">
        <is>
          <t>Alta</t>
        </is>
      </c>
      <c r="D319" s="8" t="inlineStr">
        <is>
          <t>Ver plantilla de otro cliente</t>
        </is>
      </c>
      <c r="E319" s="8" t="inlineStr">
        <is>
          <t>Admin abre el contenido de una plantilla de otra empresa</t>
        </is>
      </c>
      <c r="F319" s="8" t="inlineStr"/>
      <c r="G319" s="4" t="inlineStr"/>
      <c r="H319" s="5" t="inlineStr"/>
      <c r="I319" s="4" t="inlineStr"/>
      <c r="J319" s="6" t="inlineStr"/>
      <c r="K319" s="5" t="inlineStr"/>
    </row>
    <row r="320">
      <c r="A320" s="2" t="inlineStr">
        <is>
          <t>CP-SOP-10</t>
        </is>
      </c>
      <c r="B320" s="3" t="inlineStr">
        <is>
          <t>Admin — Centro de mando, salud, soporte e impersonación</t>
        </is>
      </c>
      <c r="C320" s="2" t="inlineStr">
        <is>
          <t>Media</t>
        </is>
      </c>
      <c r="D320" s="3" t="inlineStr">
        <is>
          <t>Dominios globales</t>
        </is>
      </c>
      <c r="E320" s="3" t="inlineStr">
        <is>
          <t>Soporte → Dominios</t>
        </is>
      </c>
      <c r="F320" s="3" t="inlineStr"/>
      <c r="G320" s="4" t="inlineStr"/>
      <c r="H320" s="5" t="inlineStr"/>
      <c r="I320" s="4" t="inlineStr"/>
      <c r="J320" s="6" t="inlineStr"/>
      <c r="K320" s="5" t="inlineStr"/>
    </row>
    <row r="321">
      <c r="A321" s="7" t="inlineStr">
        <is>
          <t>CP-IMP-01</t>
        </is>
      </c>
      <c r="B321" s="8" t="inlineStr">
        <is>
          <t>Admin — Centro de mando, salud, soporte e impersonación</t>
        </is>
      </c>
      <c r="C321" s="7" t="inlineStr">
        <is>
          <t>Alta</t>
        </is>
      </c>
      <c r="D321" s="8" t="inlineStr">
        <is>
          <t>Ver como cliente</t>
        </is>
      </c>
      <c r="E321" s="8" t="inlineStr">
        <is>
          <t>Ficha de cliente → "Ver como cliente"</t>
        </is>
      </c>
      <c r="F321" s="8" t="inlineStr"/>
      <c r="G321" s="4" t="inlineStr"/>
      <c r="H321" s="5" t="inlineStr"/>
      <c r="I321" s="4" t="inlineStr"/>
      <c r="J321" s="6" t="inlineStr"/>
      <c r="K321" s="5" t="inlineStr"/>
    </row>
    <row r="322">
      <c r="A322" s="2" t="inlineStr">
        <is>
          <t>CP-IMP-02</t>
        </is>
      </c>
      <c r="B322" s="3" t="inlineStr">
        <is>
          <t>Admin — Centro de mando, salud, soporte e impersonación</t>
        </is>
      </c>
      <c r="C322" s="2" t="inlineStr">
        <is>
          <t>Alta</t>
        </is>
      </c>
      <c r="D322" s="3" t="inlineStr">
        <is>
          <t>La impersonación no envía</t>
        </is>
      </c>
      <c r="E322" s="3" t="inlineStr">
        <is>
          <t>Estando impersonado, intentar enviar muestras o envío real</t>
        </is>
      </c>
      <c r="F322" s="3" t="inlineStr"/>
      <c r="G322" s="4" t="inlineStr"/>
      <c r="H322" s="5" t="inlineStr"/>
      <c r="I322" s="4" t="inlineStr"/>
      <c r="J322" s="6" t="inlineStr"/>
      <c r="K322" s="5" t="inlineStr"/>
    </row>
    <row r="323">
      <c r="A323" s="7" t="inlineStr">
        <is>
          <t>CP-IMP-03</t>
        </is>
      </c>
      <c r="B323" s="8" t="inlineStr">
        <is>
          <t>Admin — Centro de mando, salud, soporte e impersonación</t>
        </is>
      </c>
      <c r="C323" s="7" t="inlineStr">
        <is>
          <t>Alta</t>
        </is>
      </c>
      <c r="D323" s="8" t="inlineStr">
        <is>
          <t>Salir de la vista</t>
        </is>
      </c>
      <c r="E323" s="8" t="inlineStr">
        <is>
          <t>Botón "Salir de la vista"</t>
        </is>
      </c>
      <c r="F323" s="8" t="inlineStr"/>
      <c r="G323" s="4" t="inlineStr"/>
      <c r="H323" s="5" t="inlineStr"/>
      <c r="I323" s="4" t="inlineStr"/>
      <c r="J323" s="6" t="inlineStr"/>
      <c r="K323" s="5" t="inlineStr"/>
    </row>
    <row r="324">
      <c r="A324" s="2" t="inlineStr">
        <is>
          <t>CP-IMP-04</t>
        </is>
      </c>
      <c r="B324" s="3" t="inlineStr">
        <is>
          <t>Admin — Centro de mando, salud, soporte e impersonación</t>
        </is>
      </c>
      <c r="C324" s="2" t="inlineStr">
        <is>
          <t>Media</t>
        </is>
      </c>
      <c r="D324" s="3" t="inlineStr">
        <is>
          <t>Expira sola</t>
        </is>
      </c>
      <c r="E324" s="3" t="inlineStr">
        <is>
          <t>Dejar pasar más de 30 minutos impersonado</t>
        </is>
      </c>
      <c r="F324" s="3" t="inlineStr"/>
      <c r="G324" s="4" t="inlineStr"/>
      <c r="H324" s="5" t="inlineStr"/>
      <c r="I324" s="4" t="inlineStr"/>
      <c r="J324" s="6" t="inlineStr"/>
      <c r="K324" s="5" t="inlineStr"/>
    </row>
    <row r="325">
      <c r="A325" s="7" t="inlineStr">
        <is>
          <t>CP-IMP-05</t>
        </is>
      </c>
      <c r="B325" s="8" t="inlineStr">
        <is>
          <t>Admin — Centro de mando, salud, soporte e impersonación</t>
        </is>
      </c>
      <c r="C325" s="7" t="inlineStr">
        <is>
          <t>Media</t>
        </is>
      </c>
      <c r="D325" s="8" t="inlineStr">
        <is>
          <t>Auditoría</t>
        </is>
      </c>
      <c r="E325" s="8" t="inlineStr">
        <is>
          <t>Impersonar → tab Auditoría</t>
        </is>
      </c>
      <c r="F325" s="8" t="inlineStr"/>
      <c r="G325" s="4" t="inlineStr"/>
      <c r="H325" s="5" t="inlineStr"/>
      <c r="I325" s="4" t="inlineStr"/>
      <c r="J325" s="6" t="inlineStr"/>
      <c r="K325" s="5" t="inlineStr"/>
    </row>
    <row r="326">
      <c r="A326" s="2" t="inlineStr">
        <is>
          <t>CP-CFG-01</t>
        </is>
      </c>
      <c r="B326" s="3" t="inlineStr">
        <is>
          <t>Configuración de plataforma y por cliente</t>
        </is>
      </c>
      <c r="C326" s="2" t="inlineStr">
        <is>
          <t>Alta</t>
        </is>
      </c>
      <c r="D326" s="3" t="inlineStr">
        <is>
          <t>Interruptor global del IVA</t>
        </is>
      </c>
      <c r="E326" s="3" t="inlineStr">
        <is>
          <t>Configuración → apagar "Cobrar IVA"</t>
        </is>
      </c>
      <c r="F326" s="3" t="inlineStr"/>
      <c r="G326" s="4" t="inlineStr"/>
      <c r="H326" s="5" t="inlineStr"/>
      <c r="I326" s="4" t="inlineStr"/>
      <c r="J326" s="6" t="inlineStr"/>
      <c r="K326" s="5" t="inlineStr"/>
    </row>
    <row r="327">
      <c r="A327" s="7" t="inlineStr">
        <is>
          <t>CP-CFG-02</t>
        </is>
      </c>
      <c r="B327" s="8" t="inlineStr">
        <is>
          <t>Configuración de plataforma y por cliente</t>
        </is>
      </c>
      <c r="C327" s="7" t="inlineStr">
        <is>
          <t>Alta</t>
        </is>
      </c>
      <c r="D327" s="8" t="inlineStr">
        <is>
          <t>IVA apagado: estimador y débito coinciden</t>
        </is>
      </c>
      <c r="E327" s="8" t="inlineStr">
        <is>
          <t>Con el IVA apagado, comparar el estimado con lo debitado en un envío real</t>
        </is>
      </c>
      <c r="F327" s="8" t="inlineStr"/>
      <c r="G327" s="4" t="inlineStr"/>
      <c r="H327" s="5" t="inlineStr"/>
      <c r="I327" s="4" t="inlineStr"/>
      <c r="J327" s="6" t="inlineStr"/>
      <c r="K327" s="5" t="inlineStr"/>
    </row>
    <row r="328">
      <c r="A328" s="2" t="inlineStr">
        <is>
          <t>CP-CFG-03</t>
        </is>
      </c>
      <c r="B328" s="3" t="inlineStr">
        <is>
          <t>Configuración de plataforma y por cliente</t>
        </is>
      </c>
      <c r="C328" s="2" t="inlineStr">
        <is>
          <t>Alta</t>
        </is>
      </c>
      <c r="D328" s="3" t="inlineStr">
        <is>
          <t>IVA encendido</t>
        </is>
      </c>
      <c r="E328" s="3" t="inlineStr">
        <is>
          <t>Volver a encenderlo y repetir</t>
        </is>
      </c>
      <c r="F328" s="3" t="inlineStr"/>
      <c r="G328" s="4" t="inlineStr"/>
      <c r="H328" s="5" t="inlineStr"/>
      <c r="I328" s="4" t="inlineStr"/>
      <c r="J328" s="6" t="inlineStr"/>
      <c r="K328" s="5" t="inlineStr"/>
    </row>
    <row r="329">
      <c r="A329" s="7" t="inlineStr">
        <is>
          <t>CP-CFG-04</t>
        </is>
      </c>
      <c r="B329" s="8" t="inlineStr">
        <is>
          <t>Configuración de plataforma y por cliente</t>
        </is>
      </c>
      <c r="C329" s="7" t="inlineStr">
        <is>
          <t>Media</t>
        </is>
      </c>
      <c r="D329" s="8" t="inlineStr">
        <is>
          <t>Tarifas con IVA apagado</t>
        </is>
      </c>
      <c r="E329" s="8" t="inlineStr">
        <is>
          <t>Abrir Tarifas</t>
        </is>
      </c>
      <c r="F329" s="8" t="inlineStr"/>
      <c r="G329" s="4" t="inlineStr"/>
      <c r="H329" s="5" t="inlineStr"/>
      <c r="I329" s="4" t="inlineStr"/>
      <c r="J329" s="6" t="inlineStr"/>
      <c r="K329" s="5" t="inlineStr"/>
    </row>
    <row r="330">
      <c r="A330" s="2" t="inlineStr">
        <is>
          <t>CP-CFG-05</t>
        </is>
      </c>
      <c r="B330" s="3" t="inlineStr">
        <is>
          <t>Configuración de plataforma y por cliente</t>
        </is>
      </c>
      <c r="C330" s="2" t="inlineStr">
        <is>
          <t>Media</t>
        </is>
      </c>
      <c r="D330" s="3" t="inlineStr">
        <is>
          <t>Otros ajustes</t>
        </is>
      </c>
      <c r="E330" s="3" t="inlineStr">
        <is>
          <t>Cambiar SENDER_EMAIL y OTP_EXPIRATION_MIN</t>
        </is>
      </c>
      <c r="F330" s="3" t="inlineStr"/>
      <c r="G330" s="4" t="inlineStr"/>
      <c r="H330" s="5" t="inlineStr"/>
      <c r="I330" s="4" t="inlineStr"/>
      <c r="J330" s="6" t="inlineStr"/>
      <c r="K330" s="5" t="inlineStr"/>
    </row>
    <row r="331">
      <c r="A331" s="7" t="inlineStr">
        <is>
          <t>CP-CFG-06</t>
        </is>
      </c>
      <c r="B331" s="8" t="inlineStr">
        <is>
          <t>Configuración de plataforma y por cliente</t>
        </is>
      </c>
      <c r="C331" s="7" t="inlineStr">
        <is>
          <t>Alta</t>
        </is>
      </c>
      <c r="D331" s="8" t="inlineStr">
        <is>
          <t>Funciones por cliente</t>
        </is>
      </c>
      <c r="E331" s="8" t="inlineStr">
        <is>
          <t>Apagar "Plantillas PDF avanzadas" a un cliente y que ese cliente vuelva a entrar</t>
        </is>
      </c>
      <c r="F331" s="8" t="inlineStr"/>
      <c r="G331" s="4" t="inlineStr"/>
      <c r="H331" s="5" t="inlineStr"/>
      <c r="I331" s="4" t="inlineStr"/>
      <c r="J331" s="6" t="inlineStr"/>
      <c r="K331" s="5" t="inlineStr"/>
    </row>
    <row r="332">
      <c r="A332" s="2" t="inlineStr">
        <is>
          <t>CP-CFG-07</t>
        </is>
      </c>
      <c r="B332" s="3" t="inlineStr">
        <is>
          <t>Configuración de plataforma y por cliente</t>
        </is>
      </c>
      <c r="C332" s="2" t="inlineStr">
        <is>
          <t>Media</t>
        </is>
      </c>
      <c r="D332" s="3" t="inlineStr">
        <is>
          <t>Cliente nuevo sin funciones avanzadas</t>
        </is>
      </c>
      <c r="E332" s="3" t="inlineStr">
        <is>
          <t>Registrar una empresa nueva</t>
        </is>
      </c>
      <c r="F332" s="3" t="inlineStr"/>
      <c r="G332" s="4" t="inlineStr"/>
      <c r="H332" s="5" t="inlineStr"/>
      <c r="I332" s="4" t="inlineStr"/>
      <c r="J332" s="6" t="inlineStr"/>
      <c r="K332" s="5" t="inlineStr"/>
    </row>
    <row r="333">
      <c r="A333" s="7" t="inlineStr">
        <is>
          <t>CP-CFG-08</t>
        </is>
      </c>
      <c r="B333" s="8" t="inlineStr">
        <is>
          <t>Configuración de plataforma y por cliente</t>
        </is>
      </c>
      <c r="C333" s="7" t="inlineStr">
        <is>
          <t>Media</t>
        </is>
      </c>
      <c r="D333" s="8" t="inlineStr">
        <is>
          <t>Clientes existentes no cambian</t>
        </is>
      </c>
      <c r="E333" s="8" t="inlineStr">
        <is>
          <t>Revisar un cliente antiguo</t>
        </is>
      </c>
      <c r="F333" s="8" t="inlineStr"/>
      <c r="G333" s="4" t="inlineStr"/>
      <c r="H333" s="5" t="inlineStr"/>
      <c r="I333" s="4" t="inlineStr"/>
      <c r="J333" s="6" t="inlineStr"/>
      <c r="K333" s="5" t="inlineStr"/>
    </row>
    <row r="334">
      <c r="A334" s="2" t="inlineStr">
        <is>
          <t>CP-CFG-09</t>
        </is>
      </c>
      <c r="B334" s="3" t="inlineStr">
        <is>
          <t>Configuración de plataforma y por cliente</t>
        </is>
      </c>
      <c r="C334" s="2" t="inlineStr">
        <is>
          <t>Alta</t>
        </is>
      </c>
      <c r="D334" s="3" t="inlineStr">
        <is>
          <t>Cuotas de envío</t>
        </is>
      </c>
      <c r="E334" s="3" t="inlineStr">
        <is>
          <t>Fijar tope por campaña y diario, y superarlos</t>
        </is>
      </c>
      <c r="F334" s="3" t="inlineStr"/>
      <c r="G334" s="4" t="inlineStr"/>
      <c r="H334" s="5" t="inlineStr"/>
      <c r="I334" s="4" t="inlineStr"/>
      <c r="J334" s="6" t="inlineStr"/>
      <c r="K334" s="5" t="inlineStr"/>
    </row>
    <row r="335">
      <c r="A335" s="7" t="inlineStr">
        <is>
          <t>CP-CFG-10</t>
        </is>
      </c>
      <c r="B335" s="8" t="inlineStr">
        <is>
          <t>Configuración de plataforma y por cliente</t>
        </is>
      </c>
      <c r="C335" s="7" t="inlineStr">
        <is>
          <t>Media</t>
        </is>
      </c>
      <c r="D335" s="8" t="inlineStr">
        <is>
          <t>Cuota diaria excluye muestras</t>
        </is>
      </c>
      <c r="E335" s="8" t="inlineStr">
        <is>
          <t>Enviar muestras y luego el envío real</t>
        </is>
      </c>
      <c r="F335" s="8" t="inlineStr"/>
      <c r="G335" s="4" t="inlineStr"/>
      <c r="H335" s="5" t="inlineStr"/>
      <c r="I335" s="4" t="inlineStr"/>
      <c r="J335" s="6" t="inlineStr"/>
      <c r="K335" s="5" t="inlineStr"/>
    </row>
    <row r="336">
      <c r="A336" s="2" t="inlineStr">
        <is>
          <t>CP-CFG-11</t>
        </is>
      </c>
      <c r="B336" s="3" t="inlineStr">
        <is>
          <t>Configuración de plataforma y por cliente</t>
        </is>
      </c>
      <c r="C336" s="2" t="inlineStr">
        <is>
          <t>Media</t>
        </is>
      </c>
      <c r="D336" s="3" t="inlineStr">
        <is>
          <t>Sin tope configurado</t>
        </is>
      </c>
      <c r="E336" s="3" t="inlineStr">
        <is>
          <t>Cliente con cuotas en 0/vacío</t>
        </is>
      </c>
      <c r="F336" s="3" t="inlineStr"/>
      <c r="G336" s="4" t="inlineStr"/>
      <c r="H336" s="5" t="inlineStr"/>
      <c r="I336" s="4" t="inlineStr"/>
      <c r="J336" s="6" t="inlineStr"/>
      <c r="K336" s="5" t="inlineStr"/>
    </row>
    <row r="337">
      <c r="A337" s="7" t="inlineStr">
        <is>
          <t>CP-CFG-12</t>
        </is>
      </c>
      <c r="B337" s="8" t="inlineStr">
        <is>
          <t>Configuración de plataforma y por cliente</t>
        </is>
      </c>
      <c r="C337" s="7" t="inlineStr">
        <is>
          <t>Alta</t>
        </is>
      </c>
      <c r="D337" s="8" t="inlineStr">
        <is>
          <t>IP de envío dedicada</t>
        </is>
      </c>
      <c r="E337" s="8" t="inlineStr">
        <is>
          <t>Asignar un configuration set a un cliente y enviar</t>
        </is>
      </c>
      <c r="F337" s="8" t="inlineStr"/>
      <c r="G337" s="4" t="inlineStr"/>
      <c r="H337" s="5" t="inlineStr"/>
      <c r="I337" s="4" t="inlineStr"/>
      <c r="J337" s="6" t="inlineStr"/>
      <c r="K337" s="5" t="inlineStr"/>
    </row>
    <row r="338">
      <c r="A338" s="2" t="inlineStr">
        <is>
          <t>CP-CFG-13</t>
        </is>
      </c>
      <c r="B338" s="3" t="inlineStr">
        <is>
          <t>Configuración de plataforma y por cliente</t>
        </is>
      </c>
      <c r="C338" s="2" t="inlineStr">
        <is>
          <t>Media</t>
        </is>
      </c>
      <c r="D338" s="3" t="inlineStr">
        <is>
          <t>Volver al pool general</t>
        </is>
      </c>
      <c r="E338" s="3" t="inlineStr">
        <is>
          <t>Quitar la IP dedicada del cliente</t>
        </is>
      </c>
      <c r="F338" s="3" t="inlineStr"/>
      <c r="G338" s="4" t="inlineStr"/>
      <c r="H338" s="5" t="inlineStr"/>
      <c r="I338" s="4" t="inlineStr"/>
      <c r="J338" s="6" t="inlineStr"/>
      <c r="K338" s="5" t="inlineStr"/>
    </row>
    <row r="339">
      <c r="A339" s="7" t="inlineStr">
        <is>
          <t>CP-CFG-14</t>
        </is>
      </c>
      <c r="B339" s="8" t="inlineStr">
        <is>
          <t>Configuración de plataforma y por cliente</t>
        </is>
      </c>
      <c r="C339" s="7" t="inlineStr">
        <is>
          <t>Media</t>
        </is>
      </c>
      <c r="D339" s="8" t="inlineStr">
        <is>
          <t>Eliminar cliente</t>
        </is>
      </c>
      <c r="E339" s="8" t="inlineStr">
        <is>
          <t>Admin → eliminar una empresa</t>
        </is>
      </c>
      <c r="F339" s="8" t="inlineStr"/>
      <c r="G339" s="4" t="inlineStr"/>
      <c r="H339" s="5" t="inlineStr"/>
      <c r="I339" s="4" t="inlineStr"/>
      <c r="J339" s="6" t="inlineStr"/>
      <c r="K339" s="5" t="inlineStr"/>
    </row>
    <row r="340">
      <c r="A340" s="2" t="inlineStr">
        <is>
          <t>CP-NOT-01</t>
        </is>
      </c>
      <c r="B340" s="3" t="inlineStr">
        <is>
          <t>Notificaciones y preferencias del suscriptor</t>
        </is>
      </c>
      <c r="C340" s="2" t="inlineStr">
        <is>
          <t>Alta</t>
        </is>
      </c>
      <c r="D340" s="3" t="inlineStr">
        <is>
          <t>Aviso de saldo bajo</t>
        </is>
      </c>
      <c r="E340" s="3" t="inlineStr">
        <is>
          <t>Con el umbral en 20.000, hacer un envío que deje el saldo por debajo</t>
        </is>
      </c>
      <c r="F340" s="3" t="inlineStr"/>
      <c r="G340" s="4" t="inlineStr"/>
      <c r="H340" s="5" t="inlineStr"/>
      <c r="I340" s="4" t="inlineStr"/>
      <c r="J340" s="6" t="inlineStr"/>
      <c r="K340" s="5" t="inlineStr"/>
    </row>
    <row r="341">
      <c r="A341" s="7" t="inlineStr">
        <is>
          <t>CP-NOT-02</t>
        </is>
      </c>
      <c r="B341" s="8" t="inlineStr">
        <is>
          <t>Notificaciones y preferencias del suscriptor</t>
        </is>
      </c>
      <c r="C341" s="7" t="inlineStr">
        <is>
          <t>Media</t>
        </is>
      </c>
      <c r="D341" s="8" t="inlineStr">
        <is>
          <t>No se repite el mismo día</t>
        </is>
      </c>
      <c r="E341" s="8" t="inlineStr">
        <is>
          <t>Hacer otro envío el mismo día</t>
        </is>
      </c>
      <c r="F341" s="8" t="inlineStr"/>
      <c r="G341" s="4" t="inlineStr"/>
      <c r="H341" s="5" t="inlineStr"/>
      <c r="I341" s="4" t="inlineStr"/>
      <c r="J341" s="6" t="inlineStr"/>
      <c r="K341" s="5" t="inlineStr"/>
    </row>
    <row r="342">
      <c r="A342" s="2" t="inlineStr">
        <is>
          <t>CP-NOT-03</t>
        </is>
      </c>
      <c r="B342" s="3" t="inlineStr">
        <is>
          <t>Notificaciones y preferencias del suscriptor</t>
        </is>
      </c>
      <c r="C342" s="2" t="inlineStr">
        <is>
          <t>Media</t>
        </is>
      </c>
      <c r="D342" s="3" t="inlineStr">
        <is>
          <t>Aviso desactivado</t>
        </is>
      </c>
      <c r="E342" s="3" t="inlineStr">
        <is>
          <t>Apagar el aviso de saldo bajo en Mi cuenta y repetir</t>
        </is>
      </c>
      <c r="F342" s="3" t="inlineStr"/>
      <c r="G342" s="4" t="inlineStr"/>
      <c r="H342" s="5" t="inlineStr"/>
      <c r="I342" s="4" t="inlineStr"/>
      <c r="J342" s="6" t="inlineStr"/>
      <c r="K342" s="5" t="inlineStr"/>
    </row>
    <row r="343">
      <c r="A343" s="7" t="inlineStr">
        <is>
          <t>CP-NOT-04</t>
        </is>
      </c>
      <c r="B343" s="8" t="inlineStr">
        <is>
          <t>Notificaciones y preferencias del suscriptor</t>
        </is>
      </c>
      <c r="C343" s="7" t="inlineStr">
        <is>
          <t>Media</t>
        </is>
      </c>
      <c r="D343" s="8" t="inlineStr">
        <is>
          <t>Resumen diario</t>
        </is>
      </c>
      <c r="E343" s="8" t="inlineStr">
        <is>
          <t>Activar el resumen y esperar el cron</t>
        </is>
      </c>
      <c r="F343" s="8" t="inlineStr"/>
      <c r="G343" s="4" t="inlineStr"/>
      <c r="H343" s="5" t="inlineStr"/>
      <c r="I343" s="4" t="inlineStr"/>
      <c r="J343" s="6" t="inlineStr"/>
      <c r="K343" s="5" t="inlineStr"/>
    </row>
    <row r="344">
      <c r="A344" s="2" t="inlineStr">
        <is>
          <t>CP-NOT-05</t>
        </is>
      </c>
      <c r="B344" s="3" t="inlineStr">
        <is>
          <t>Notificaciones y preferencias del suscriptor</t>
        </is>
      </c>
      <c r="C344" s="2" t="inlineStr">
        <is>
          <t>Media</t>
        </is>
      </c>
      <c r="D344" s="3" t="inlineStr">
        <is>
          <t>Reputación en riesgo</t>
        </is>
      </c>
      <c r="E344" s="3" t="inlineStr">
        <is>
          <t>Cliente con rebote por encima del umbral</t>
        </is>
      </c>
      <c r="F344" s="3" t="inlineStr"/>
      <c r="G344" s="4" t="inlineStr"/>
      <c r="H344" s="5" t="inlineStr"/>
      <c r="I344" s="4" t="inlineStr"/>
      <c r="J344" s="6" t="inlineStr"/>
      <c r="K344" s="5" t="inlineStr"/>
    </row>
    <row r="345">
      <c r="A345" s="7" t="inlineStr">
        <is>
          <t>CP-NOT-06</t>
        </is>
      </c>
      <c r="B345" s="8" t="inlineStr">
        <is>
          <t>Notificaciones y preferencias del suscriptor</t>
        </is>
      </c>
      <c r="C345" s="7" t="inlineStr">
        <is>
          <t>Media</t>
        </is>
      </c>
      <c r="D345" s="8" t="inlineStr">
        <is>
          <t>Solo el owner configura</t>
        </is>
      </c>
      <c r="E345" s="8" t="inlineStr">
        <is>
          <t>operator intenta cambiar las preferencias</t>
        </is>
      </c>
      <c r="F345" s="8" t="inlineStr"/>
      <c r="G345" s="4" t="inlineStr"/>
      <c r="H345" s="5" t="inlineStr"/>
      <c r="I345" s="4" t="inlineStr"/>
      <c r="J345" s="6" t="inlineStr"/>
      <c r="K345" s="5" t="inlineStr"/>
    </row>
    <row r="346">
      <c r="A346" s="2" t="inlineStr">
        <is>
          <t>CP-PREF-01</t>
        </is>
      </c>
      <c r="B346" s="3" t="inlineStr">
        <is>
          <t>Notificaciones y preferencias del suscriptor</t>
        </is>
      </c>
      <c r="C346" s="2" t="inlineStr">
        <is>
          <t>Alta</t>
        </is>
      </c>
      <c r="D346" s="3" t="inlineStr">
        <is>
          <t>Centro de preferencias</t>
        </is>
      </c>
      <c r="E346" s="3" t="inlineStr">
        <is>
          <t>Abrir el enlace "Administrar preferencias" de un correo</t>
        </is>
      </c>
      <c r="F346" s="3" t="inlineStr"/>
      <c r="G346" s="4" t="inlineStr"/>
      <c r="H346" s="5" t="inlineStr"/>
      <c r="I346" s="4" t="inlineStr"/>
      <c r="J346" s="6" t="inlineStr"/>
      <c r="K346" s="5" t="inlineStr"/>
    </row>
    <row r="347">
      <c r="A347" s="7" t="inlineStr">
        <is>
          <t>CP-PREF-02</t>
        </is>
      </c>
      <c r="B347" s="8" t="inlineStr">
        <is>
          <t>Notificaciones y preferencias del suscriptor</t>
        </is>
      </c>
      <c r="C347" s="7" t="inlineStr">
        <is>
          <t>Alta</t>
        </is>
      </c>
      <c r="D347" s="8" t="inlineStr">
        <is>
          <t>Elegir "ninguna" da de baja</t>
        </is>
      </c>
      <c r="E347" s="8" t="inlineStr">
        <is>
          <t>Marcar "ninguna" y guardar</t>
        </is>
      </c>
      <c r="F347" s="8" t="inlineStr"/>
      <c r="G347" s="4" t="inlineStr"/>
      <c r="H347" s="5" t="inlineStr"/>
      <c r="I347" s="4" t="inlineStr"/>
      <c r="J347" s="6" t="inlineStr"/>
      <c r="K347" s="5" t="inlineStr"/>
    </row>
    <row r="348">
      <c r="A348" s="2" t="inlineStr">
        <is>
          <t>CP-PREF-03</t>
        </is>
      </c>
      <c r="B348" s="3" t="inlineStr">
        <is>
          <t>Notificaciones y preferencias del suscriptor</t>
        </is>
      </c>
      <c r="C348" s="2" t="inlineStr">
        <is>
          <t>Media</t>
        </is>
      </c>
      <c r="D348" s="3" t="inlineStr">
        <is>
          <t>Re-suscribir</t>
        </is>
      </c>
      <c r="E348" s="3" t="inlineStr">
        <is>
          <t>Volver a elegir otra frecuencia</t>
        </is>
      </c>
      <c r="F348" s="3" t="inlineStr"/>
      <c r="G348" s="4" t="inlineStr"/>
      <c r="H348" s="5" t="inlineStr"/>
      <c r="I348" s="4" t="inlineStr"/>
      <c r="J348" s="6" t="inlineStr"/>
      <c r="K348" s="5" t="inlineStr"/>
    </row>
    <row r="349">
      <c r="A349" s="7" t="inlineStr">
        <is>
          <t>CP-PREF-04</t>
        </is>
      </c>
      <c r="B349" s="8" t="inlineStr">
        <is>
          <t>Notificaciones y preferencias del suscriptor</t>
        </is>
      </c>
      <c r="C349" s="7" t="inlineStr">
        <is>
          <t>Alta</t>
        </is>
      </c>
      <c r="D349" s="8" t="inlineStr">
        <is>
          <t>Token inválido</t>
        </is>
      </c>
      <c r="E349" s="8" t="inlineStr">
        <is>
          <t>Abrir la página con un token manipulado</t>
        </is>
      </c>
      <c r="F349" s="8" t="inlineStr"/>
      <c r="G349" s="4" t="inlineStr"/>
      <c r="H349" s="5" t="inlineStr"/>
      <c r="I349" s="4" t="inlineStr"/>
      <c r="J349" s="6" t="inlineStr"/>
      <c r="K349" s="5" t="inlineStr"/>
    </row>
    <row r="350">
      <c r="A350" s="2" t="inlineStr">
        <is>
          <t>CP-PREF-05</t>
        </is>
      </c>
      <c r="B350" s="3" t="inlineStr">
        <is>
          <t>Notificaciones y preferencias del suscriptor</t>
        </is>
      </c>
      <c r="C350" s="2" t="inlineStr">
        <is>
          <t>Media</t>
        </is>
      </c>
      <c r="D350" s="3" t="inlineStr">
        <is>
          <t>Baja directa</t>
        </is>
      </c>
      <c r="E350" s="3" t="inlineStr">
        <is>
          <t>Usar el enlace de "Cancelar suscripción"</t>
        </is>
      </c>
      <c r="F350" s="3" t="inlineStr"/>
      <c r="G350" s="4" t="inlineStr"/>
      <c r="H350" s="5" t="inlineStr"/>
      <c r="I350" s="4" t="inlineStr"/>
      <c r="J350" s="6" t="inlineStr"/>
      <c r="K350" s="5" t="inlineStr"/>
    </row>
    <row r="351">
      <c r="A351" s="7" t="inlineStr">
        <is>
          <t>CP-CAM-01</t>
        </is>
      </c>
      <c r="B351" s="8" t="inlineStr">
        <is>
          <t>Notificaciones y preferencias del suscriptor</t>
        </is>
      </c>
      <c r="C351" s="7" t="inlineStr">
        <is>
          <t>Alta</t>
        </is>
      </c>
      <c r="D351" s="8" t="inlineStr">
        <is>
          <t>Aviso de campaña por aprobar</t>
        </is>
      </c>
      <c r="E351" s="8" t="inlineStr">
        <is>
          <t>Un operator solicita la aprobación de una campaña con muestras enviadas</t>
        </is>
      </c>
      <c r="F351" s="8" t="inlineStr"/>
      <c r="G351" s="4" t="inlineStr"/>
      <c r="H351" s="5" t="inlineStr"/>
      <c r="I351" s="4" t="inlineStr"/>
      <c r="J351" s="6" t="inlineStr"/>
      <c r="K351" s="5" t="inlineStr"/>
    </row>
    <row r="352">
      <c r="A352" s="2" t="inlineStr">
        <is>
          <t>CP-CAM-02</t>
        </is>
      </c>
      <c r="B352" s="3" t="inlineStr">
        <is>
          <t>Notificaciones y preferencias del suscriptor</t>
        </is>
      </c>
      <c r="C352" s="2" t="inlineStr">
        <is>
          <t>Alta</t>
        </is>
      </c>
      <c r="D352" s="3" t="inlineStr">
        <is>
          <t>Solo a quien puede aprobar</t>
        </is>
      </c>
      <c r="E352" s="3" t="inlineStr">
        <is>
          <t>Revisar la campanita de otro operator del mismo equipo</t>
        </is>
      </c>
      <c r="F352" s="3" t="inlineStr"/>
      <c r="G352" s="4" t="inlineStr"/>
      <c r="H352" s="5" t="inlineStr"/>
      <c r="I352" s="4" t="inlineStr"/>
      <c r="J352" s="6" t="inlineStr"/>
      <c r="K352" s="5" t="inlineStr"/>
    </row>
    <row r="353">
      <c r="A353" s="7" t="inlineStr">
        <is>
          <t>CP-CAM-03</t>
        </is>
      </c>
      <c r="B353" s="8" t="inlineStr">
        <is>
          <t>Notificaciones y preferencias del suscriptor</t>
        </is>
      </c>
      <c r="C353" s="7" t="inlineStr">
        <is>
          <t>Alta</t>
        </is>
      </c>
      <c r="D353" s="8" t="inlineStr">
        <is>
          <t>Quien la pide no se avisa a sí mismo</t>
        </is>
      </c>
      <c r="E353" s="8" t="inlineStr">
        <is>
          <t>Revisar la campanita del operator que la solicitó</t>
        </is>
      </c>
      <c r="F353" s="8" t="inlineStr"/>
      <c r="G353" s="4" t="inlineStr"/>
      <c r="H353" s="5" t="inlineStr"/>
      <c r="I353" s="4" t="inlineStr"/>
      <c r="J353" s="6" t="inlineStr"/>
      <c r="K353" s="5" t="inlineStr"/>
    </row>
    <row r="354">
      <c r="A354" s="2" t="inlineStr">
        <is>
          <t>CP-CAM-04</t>
        </is>
      </c>
      <c r="B354" s="3" t="inlineStr">
        <is>
          <t>Notificaciones y preferencias del suscriptor</t>
        </is>
      </c>
      <c r="C354" s="2" t="inlineStr">
        <is>
          <t>Alta</t>
        </is>
      </c>
      <c r="D354" s="3" t="inlineStr">
        <is>
          <t>Aislamiento entre empresas</t>
        </is>
      </c>
      <c r="E354" s="3" t="inlineStr">
        <is>
          <t>Revisar la campanita de un usuario de OTRA empresa</t>
        </is>
      </c>
      <c r="F354" s="3" t="inlineStr"/>
      <c r="G354" s="4" t="inlineStr"/>
      <c r="H354" s="5" t="inlineStr"/>
      <c r="I354" s="4" t="inlineStr"/>
      <c r="J354" s="6" t="inlineStr"/>
      <c r="K354" s="5" t="inlineStr"/>
    </row>
    <row r="355">
      <c r="A355" s="7" t="inlineStr">
        <is>
          <t>CP-CAM-05</t>
        </is>
      </c>
      <c r="B355" s="8" t="inlineStr">
        <is>
          <t>Notificaciones y preferencias del suscriptor</t>
        </is>
      </c>
      <c r="C355" s="7" t="inlineStr">
        <is>
          <t>Alta</t>
        </is>
      </c>
      <c r="D355" s="8" t="inlineStr">
        <is>
          <t>Aviso de aprobada</t>
        </is>
      </c>
      <c r="E355" s="8" t="inlineStr">
        <is>
          <t>El owner aprueba la campaña</t>
        </is>
      </c>
      <c r="F355" s="8" t="inlineStr"/>
      <c r="G355" s="4" t="inlineStr"/>
      <c r="H355" s="5" t="inlineStr"/>
      <c r="I355" s="4" t="inlineStr"/>
      <c r="J355" s="6" t="inlineStr"/>
      <c r="K355" s="5" t="inlineStr"/>
    </row>
    <row r="356">
      <c r="A356" s="2" t="inlineStr">
        <is>
          <t>CP-CAM-06</t>
        </is>
      </c>
      <c r="B356" s="3" t="inlineStr">
        <is>
          <t>Notificaciones y preferencias del suscriptor</t>
        </is>
      </c>
      <c r="C356" s="2" t="inlineStr">
        <is>
          <t>Alta</t>
        </is>
      </c>
      <c r="D356" s="3" t="inlineStr">
        <is>
          <t>Aviso de rechazada con el motivo</t>
        </is>
      </c>
      <c r="E356" s="3" t="inlineStr">
        <is>
          <t>El owner rechaza con el motivo "Falta el descargo legal"</t>
        </is>
      </c>
      <c r="F356" s="3" t="inlineStr"/>
      <c r="G356" s="4" t="inlineStr"/>
      <c r="H356" s="5" t="inlineStr"/>
      <c r="I356" s="4" t="inlineStr"/>
      <c r="J356" s="6" t="inlineStr"/>
      <c r="K356" s="5" t="inlineStr"/>
    </row>
    <row r="357">
      <c r="A357" s="7" t="inlineStr">
        <is>
          <t>CP-CAM-07</t>
        </is>
      </c>
      <c r="B357" s="8" t="inlineStr">
        <is>
          <t>Notificaciones y preferencias del suscriptor</t>
        </is>
      </c>
      <c r="C357" s="7" t="inlineStr">
        <is>
          <t>Alta</t>
        </is>
      </c>
      <c r="D357" s="8" t="inlineStr">
        <is>
          <t>Saldo bajo in-app</t>
        </is>
      </c>
      <c r="E357" s="8" t="inlineStr">
        <is>
          <t>Hacer un envío que deje el saldo bajo el umbral</t>
        </is>
      </c>
      <c r="F357" s="8" t="inlineStr"/>
      <c r="G357" s="4" t="inlineStr"/>
      <c r="H357" s="5" t="inlineStr"/>
      <c r="I357" s="4" t="inlineStr"/>
      <c r="J357" s="6" t="inlineStr"/>
      <c r="K357" s="5" t="inlineStr"/>
    </row>
    <row r="358">
      <c r="A358" s="2" t="inlineStr">
        <is>
          <t>CP-CAM-08</t>
        </is>
      </c>
      <c r="B358" s="3" t="inlineStr">
        <is>
          <t>Notificaciones y preferencias del suscriptor</t>
        </is>
      </c>
      <c r="C358" s="2" t="inlineStr">
        <is>
          <t>Media</t>
        </is>
      </c>
      <c r="D358" s="3" t="inlineStr">
        <is>
          <t>Avisos nuevos abajo a la derecha</t>
        </is>
      </c>
      <c r="E358" s="3" t="inlineStr">
        <is>
          <t>Dejar el portal abierto y generar un aviso desde otra sesión</t>
        </is>
      </c>
      <c r="F358" s="3" t="inlineStr"/>
      <c r="G358" s="4" t="inlineStr"/>
      <c r="H358" s="5" t="inlineStr"/>
      <c r="I358" s="4" t="inlineStr"/>
      <c r="J358" s="6" t="inlineStr"/>
      <c r="K358" s="5" t="inlineStr"/>
    </row>
    <row r="359">
      <c r="A359" s="7" t="inlineStr">
        <is>
          <t>CP-CAM-09</t>
        </is>
      </c>
      <c r="B359" s="8" t="inlineStr">
        <is>
          <t>Notificaciones y preferencias del suscriptor</t>
        </is>
      </c>
      <c r="C359" s="7" t="inlineStr">
        <is>
          <t>Media</t>
        </is>
      </c>
      <c r="D359" s="8" t="inlineStr">
        <is>
          <t>Los nuevos NO saltan al entrar</t>
        </is>
      </c>
      <c r="E359" s="8" t="inlineStr">
        <is>
          <t>Con avisos viejos sin leer, entrar al portal</t>
        </is>
      </c>
      <c r="F359" s="8" t="inlineStr"/>
      <c r="G359" s="4" t="inlineStr"/>
      <c r="H359" s="5" t="inlineStr"/>
      <c r="I359" s="4" t="inlineStr"/>
      <c r="J359" s="6" t="inlineStr"/>
      <c r="K359" s="5" t="inlineStr"/>
    </row>
    <row r="360">
      <c r="A360" s="2" t="inlineStr">
        <is>
          <t>CP-CAM-10</t>
        </is>
      </c>
      <c r="B360" s="3" t="inlineStr">
        <is>
          <t>Notificaciones y preferencias del suscriptor</t>
        </is>
      </c>
      <c r="C360" s="2" t="inlineStr">
        <is>
          <t>Media</t>
        </is>
      </c>
      <c r="D360" s="3" t="inlineStr">
        <is>
          <t>La tarjeta se retira sola</t>
        </is>
      </c>
      <c r="E360" s="3" t="inlineStr">
        <is>
          <t>Esperar unos segundos tras el aviso</t>
        </is>
      </c>
      <c r="F360" s="3" t="inlineStr"/>
      <c r="G360" s="4" t="inlineStr"/>
      <c r="H360" s="5" t="inlineStr"/>
      <c r="I360" s="4" t="inlineStr"/>
      <c r="J360" s="6" t="inlineStr"/>
      <c r="K360" s="5" t="inlineStr"/>
    </row>
    <row r="361">
      <c r="A361" s="7" t="inlineStr">
        <is>
          <t>CP-CAM-11</t>
        </is>
      </c>
      <c r="B361" s="8" t="inlineStr">
        <is>
          <t>Notificaciones y preferencias del suscriptor</t>
        </is>
      </c>
      <c r="C361" s="7" t="inlineStr">
        <is>
          <t>Alta</t>
        </is>
      </c>
      <c r="D361" s="8" t="inlineStr">
        <is>
          <t>Clic lleva al lugar correcto</t>
        </is>
      </c>
      <c r="E361" s="8" t="inlineStr">
        <is>
          <t>Hacer clic en "Campaña por aprobar"</t>
        </is>
      </c>
      <c r="F361" s="8" t="inlineStr"/>
      <c r="G361" s="4" t="inlineStr"/>
      <c r="H361" s="5" t="inlineStr"/>
      <c r="I361" s="4" t="inlineStr"/>
      <c r="J361" s="6" t="inlineStr"/>
      <c r="K361" s="5" t="inlineStr"/>
    </row>
    <row r="362">
      <c r="A362" s="2" t="inlineStr">
        <is>
          <t>CP-CAM-12</t>
        </is>
      </c>
      <c r="B362" s="3" t="inlineStr">
        <is>
          <t>Notificaciones y preferencias del suscriptor</t>
        </is>
      </c>
      <c r="C362" s="2" t="inlineStr">
        <is>
          <t>Media</t>
        </is>
      </c>
      <c r="D362" s="3" t="inlineStr">
        <is>
          <t>Marcar leídas</t>
        </is>
      </c>
      <c r="E362" s="3" t="inlineStr">
        <is>
          <t>Abrir el panel y pulsar "Marcar leídas"</t>
        </is>
      </c>
      <c r="F362" s="3" t="inlineStr"/>
      <c r="G362" s="4" t="inlineStr"/>
      <c r="H362" s="5" t="inlineStr"/>
      <c r="I362" s="4" t="inlineStr"/>
      <c r="J362" s="6" t="inlineStr"/>
      <c r="K362" s="5" t="inlineStr"/>
    </row>
    <row r="363">
      <c r="A363" s="7" t="inlineStr">
        <is>
          <t>CP-CAM-13</t>
        </is>
      </c>
      <c r="B363" s="8" t="inlineStr">
        <is>
          <t>Notificaciones y preferencias del suscriptor</t>
        </is>
      </c>
      <c r="C363" s="7" t="inlineStr">
        <is>
          <t>Alta</t>
        </is>
      </c>
      <c r="D363" s="8" t="inlineStr">
        <is>
          <t>No se puede marcar la de otro</t>
        </is>
      </c>
      <c r="E363" s="8" t="inlineStr">
        <is>
          <t>Llamar /Notifications/List con action:read y el id de otro usuario</t>
        </is>
      </c>
      <c r="F363" s="8" t="inlineStr"/>
      <c r="G363" s="4" t="inlineStr"/>
      <c r="H363" s="5" t="inlineStr"/>
      <c r="I363" s="4" t="inlineStr"/>
      <c r="J363" s="6" t="inlineStr"/>
      <c r="K363" s="5" t="inlineStr"/>
    </row>
    <row r="364">
      <c r="A364" s="2" t="inlineStr">
        <is>
          <t>CP-CAM-14</t>
        </is>
      </c>
      <c r="B364" s="3" t="inlineStr">
        <is>
          <t>Notificaciones y preferencias del suscriptor</t>
        </is>
      </c>
      <c r="C364" s="2" t="inlineStr">
        <is>
          <t>Media</t>
        </is>
      </c>
      <c r="D364" s="3" t="inlineStr">
        <is>
          <t>Sin notificaciones</t>
        </is>
      </c>
      <c r="E364" s="3" t="inlineStr">
        <is>
          <t>Usuario nuevo abre la campanita</t>
        </is>
      </c>
      <c r="F364" s="3" t="inlineStr"/>
      <c r="G364" s="4" t="inlineStr"/>
      <c r="H364" s="5" t="inlineStr"/>
      <c r="I364" s="4" t="inlineStr"/>
      <c r="J364" s="6" t="inlineStr"/>
      <c r="K364" s="5" t="inlineStr"/>
    </row>
    <row r="365">
      <c r="A365" s="7" t="inlineStr">
        <is>
          <t>CP-CAM-15</t>
        </is>
      </c>
      <c r="B365" s="8" t="inlineStr">
        <is>
          <t>Notificaciones y preferencias del suscriptor</t>
        </is>
      </c>
      <c r="C365" s="7" t="inlineStr">
        <is>
          <t>Baja</t>
        </is>
      </c>
      <c r="D365" s="8" t="inlineStr">
        <is>
          <t>No molesta en impersonación</t>
        </is>
      </c>
      <c r="E365" s="8" t="inlineStr">
        <is>
          <t>Entrar como admin con "Ver como cliente"</t>
        </is>
      </c>
      <c r="F365" s="8" t="inlineStr"/>
      <c r="G365" s="4" t="inlineStr"/>
      <c r="H365" s="5" t="inlineStr"/>
      <c r="I365" s="4" t="inlineStr"/>
      <c r="J365" s="6" t="inlineStr"/>
      <c r="K365" s="5" t="inlineStr"/>
    </row>
    <row r="366">
      <c r="A366" s="2" t="inlineStr">
        <is>
          <t>CP-CAM-16</t>
        </is>
      </c>
      <c r="B366" s="3" t="inlineStr">
        <is>
          <t>Notificaciones y preferencias del suscriptor</t>
        </is>
      </c>
      <c r="C366" s="2" t="inlineStr">
        <is>
          <t>Baja</t>
        </is>
      </c>
      <c r="D366" s="3" t="inlineStr">
        <is>
          <t>La aprobación funciona sin la tabla</t>
        </is>
      </c>
      <c r="E366" s="3" t="inlineStr">
        <is>
          <t>Sin desplegar la tabla notification, solicitar una aprobación</t>
        </is>
      </c>
      <c r="F366" s="3" t="inlineStr"/>
      <c r="G366" s="4" t="inlineStr"/>
      <c r="H366" s="5" t="inlineStr"/>
      <c r="I366" s="4" t="inlineStr"/>
      <c r="J366" s="6" t="inlineStr"/>
      <c r="K366" s="5" t="inlineStr"/>
    </row>
    <row r="367">
      <c r="A367" s="7" t="inlineStr">
        <is>
          <t>CP-HIG-01</t>
        </is>
      </c>
      <c r="B367" s="8" t="inlineStr">
        <is>
          <t>Higiene, límites de uso y costo del adjunto</t>
        </is>
      </c>
      <c r="C367" s="7" t="inlineStr">
        <is>
          <t>Alta</t>
        </is>
      </c>
      <c r="D367" s="8" t="inlineStr">
        <is>
          <t>Verificar higiene</t>
        </is>
      </c>
      <c r="E367" s="8" t="inlineStr">
        <is>
          <t>Bases de datos → botón escudo sobre una base con correos malos</t>
        </is>
      </c>
      <c r="F367" s="8" t="inlineStr"/>
      <c r="G367" s="4" t="inlineStr"/>
      <c r="H367" s="5" t="inlineStr"/>
      <c r="I367" s="4" t="inlineStr"/>
      <c r="J367" s="6" t="inlineStr"/>
      <c r="K367" s="5" t="inlineStr"/>
    </row>
    <row r="368">
      <c r="A368" s="2" t="inlineStr">
        <is>
          <t>CP-HIG-02</t>
        </is>
      </c>
      <c r="B368" s="3" t="inlineStr">
        <is>
          <t>Higiene, límites de uso y costo del adjunto</t>
        </is>
      </c>
      <c r="C368" s="2" t="inlineStr">
        <is>
          <t>Media</t>
        </is>
      </c>
      <c r="D368" s="3" t="inlineStr">
        <is>
          <t>Base limpia</t>
        </is>
      </c>
      <c r="E368" s="3" t="inlineStr">
        <is>
          <t>Verificar una base correcta</t>
        </is>
      </c>
      <c r="F368" s="3" t="inlineStr"/>
      <c r="G368" s="4" t="inlineStr"/>
      <c r="H368" s="5" t="inlineStr"/>
      <c r="I368" s="4" t="inlineStr"/>
      <c r="J368" s="6" t="inlineStr"/>
      <c r="K368" s="5" t="inlineStr"/>
    </row>
    <row r="369">
      <c r="A369" s="7" t="inlineStr">
        <is>
          <t>CP-HIG-03</t>
        </is>
      </c>
      <c r="B369" s="8" t="inlineStr">
        <is>
          <t>Higiene, límites de uso y costo del adjunto</t>
        </is>
      </c>
      <c r="C369" s="7" t="inlineStr">
        <is>
          <t>Media</t>
        </is>
      </c>
      <c r="D369" s="8" t="inlineStr">
        <is>
          <t>Base de celulares</t>
        </is>
      </c>
      <c r="E369" s="8" t="inlineStr">
        <is>
          <t>Verificar una base de canal SMS</t>
        </is>
      </c>
      <c r="F369" s="8" t="inlineStr"/>
      <c r="G369" s="4" t="inlineStr"/>
      <c r="H369" s="5" t="inlineStr"/>
      <c r="I369" s="4" t="inlineStr"/>
      <c r="J369" s="6" t="inlineStr"/>
      <c r="K369" s="5" t="inlineStr"/>
    </row>
    <row r="370">
      <c r="A370" s="2" t="inlineStr">
        <is>
          <t>CP-HIG-04</t>
        </is>
      </c>
      <c r="B370" s="3" t="inlineStr">
        <is>
          <t>Higiene, límites de uso y costo del adjunto</t>
        </is>
      </c>
      <c r="C370" s="2" t="inlineStr">
        <is>
          <t>Media</t>
        </is>
      </c>
      <c r="D370" s="3" t="inlineStr">
        <is>
          <t>Base de otro cliente</t>
        </is>
      </c>
      <c r="E370" s="3" t="inlineStr">
        <is>
          <t>Verificar por API una base ajena</t>
        </is>
      </c>
      <c r="F370" s="3" t="inlineStr"/>
      <c r="G370" s="4" t="inlineStr"/>
      <c r="H370" s="5" t="inlineStr"/>
      <c r="I370" s="4" t="inlineStr"/>
      <c r="J370" s="6" t="inlineStr"/>
      <c r="K370" s="5" t="inlineStr"/>
    </row>
    <row r="371">
      <c r="A371" s="7" t="inlineStr">
        <is>
          <t>CP-RL-01</t>
        </is>
      </c>
      <c r="B371" s="8" t="inlineStr">
        <is>
          <t>Higiene, límites de uso y costo del adjunto</t>
        </is>
      </c>
      <c r="C371" s="7" t="inlineStr">
        <is>
          <t>Alta</t>
        </is>
      </c>
      <c r="D371" s="8" t="inlineStr">
        <is>
          <t>Límite del asistente público</t>
        </is>
      </c>
      <c r="E371" s="8" t="inlineStr">
        <is>
          <t>Escribirle al chat de la landing más de 6 veces en un minuto</t>
        </is>
      </c>
      <c r="F371" s="8" t="inlineStr"/>
      <c r="G371" s="4" t="inlineStr"/>
      <c r="H371" s="5" t="inlineStr"/>
      <c r="I371" s="4" t="inlineStr"/>
      <c r="J371" s="6" t="inlineStr"/>
      <c r="K371" s="5" t="inlineStr"/>
    </row>
    <row r="372">
      <c r="A372" s="2" t="inlineStr">
        <is>
          <t>CP-RL-02</t>
        </is>
      </c>
      <c r="B372" s="3" t="inlineStr">
        <is>
          <t>Higiene, límites de uso y costo del adjunto</t>
        </is>
      </c>
      <c r="C372" s="2" t="inlineStr">
        <is>
          <t>Media</t>
        </is>
      </c>
      <c r="D372" s="3" t="inlineStr">
        <is>
          <t>Tope diario</t>
        </is>
      </c>
      <c r="E372" s="3" t="inlineStr">
        <is>
          <t>Superar el tope diario por IP</t>
        </is>
      </c>
      <c r="F372" s="3" t="inlineStr"/>
      <c r="G372" s="4" t="inlineStr"/>
      <c r="H372" s="5" t="inlineStr"/>
      <c r="I372" s="4" t="inlineStr"/>
      <c r="J372" s="6" t="inlineStr"/>
      <c r="K372" s="5" t="inlineStr"/>
    </row>
    <row r="373">
      <c r="A373" s="7" t="inlineStr">
        <is>
          <t>CP-RL-03</t>
        </is>
      </c>
      <c r="B373" s="8" t="inlineStr">
        <is>
          <t>Higiene, límites de uso y costo del adjunto</t>
        </is>
      </c>
      <c r="C373" s="7" t="inlineStr">
        <is>
          <t>Media</t>
        </is>
      </c>
      <c r="D373" s="8" t="inlineStr">
        <is>
          <t>IPs independientes</t>
        </is>
      </c>
      <c r="E373" s="8" t="inlineStr">
        <is>
          <t>Otra IP escribe tras agotarse la primera</t>
        </is>
      </c>
      <c r="F373" s="8" t="inlineStr"/>
      <c r="G373" s="4" t="inlineStr"/>
      <c r="H373" s="5" t="inlineStr"/>
      <c r="I373" s="4" t="inlineStr"/>
      <c r="J373" s="6" t="inlineStr"/>
      <c r="K373" s="5" t="inlineStr"/>
    </row>
    <row r="374">
      <c r="A374" s="2" t="inlineStr">
        <is>
          <t>CP-RL-04</t>
        </is>
      </c>
      <c r="B374" s="3" t="inlineStr">
        <is>
          <t>Higiene, límites de uso y costo del adjunto</t>
        </is>
      </c>
      <c r="C374" s="2" t="inlineStr">
        <is>
          <t>Baja</t>
        </is>
      </c>
      <c r="D374" s="3" t="inlineStr">
        <is>
          <t>El asistente responde</t>
        </is>
      </c>
      <c r="E374" s="3" t="inlineStr">
        <is>
          <t>Preguntar por precios/canales</t>
        </is>
      </c>
      <c r="F374" s="3" t="inlineStr"/>
      <c r="G374" s="4" t="inlineStr"/>
      <c r="H374" s="5" t="inlineStr"/>
      <c r="I374" s="4" t="inlineStr"/>
      <c r="J374" s="6" t="inlineStr"/>
      <c r="K374" s="5" t="inlineStr"/>
    </row>
    <row r="375">
      <c r="A375" s="7" t="inlineStr">
        <is>
          <t>CP-RL-05</t>
        </is>
      </c>
      <c r="B375" s="8" t="inlineStr">
        <is>
          <t>Higiene, límites de uso y costo del adjunto</t>
        </is>
      </c>
      <c r="C375" s="7" t="inlineStr">
        <is>
          <t>Media</t>
        </is>
      </c>
      <c r="D375" s="8" t="inlineStr">
        <is>
          <t>Guardrails</t>
        </is>
      </c>
      <c r="E375" s="8" t="inlineStr">
        <is>
          <t>Pedirle el saldo de una cuenta real o el mensaje de sistema</t>
        </is>
      </c>
      <c r="F375" s="8" t="inlineStr"/>
      <c r="G375" s="4" t="inlineStr"/>
      <c r="H375" s="5" t="inlineStr"/>
      <c r="I375" s="4" t="inlineStr"/>
      <c r="J375" s="6" t="inlineStr"/>
      <c r="K375" s="5" t="inlineStr"/>
    </row>
    <row r="376">
      <c r="A376" s="2" t="inlineStr">
        <is>
          <t>CP-PES-01</t>
        </is>
      </c>
      <c r="B376" s="3" t="inlineStr">
        <is>
          <t>Higiene, límites de uso y costo del adjunto</t>
        </is>
      </c>
      <c r="C376" s="2" t="inlineStr">
        <is>
          <t>Alta</t>
        </is>
      </c>
      <c r="D376" s="3" t="inlineStr">
        <is>
          <t>Medir peso real (EAU)</t>
        </is>
      </c>
      <c r="E376" s="3" t="inlineStr">
        <is>
          <t>Campaña EAU → "Medir peso real"</t>
        </is>
      </c>
      <c r="F376" s="3" t="inlineStr"/>
      <c r="G376" s="4" t="inlineStr"/>
      <c r="H376" s="5" t="inlineStr"/>
      <c r="I376" s="4" t="inlineStr"/>
      <c r="J376" s="6" t="inlineStr"/>
      <c r="K376" s="5" t="inlineStr"/>
    </row>
    <row r="377">
      <c r="A377" s="7" t="inlineStr">
        <is>
          <t>CP-PES-02</t>
        </is>
      </c>
      <c r="B377" s="8" t="inlineStr">
        <is>
          <t>Higiene, límites de uso y costo del adjunto</t>
        </is>
      </c>
      <c r="C377" s="7" t="inlineStr">
        <is>
          <t>Alta</t>
        </is>
      </c>
      <c r="D377" s="8" t="inlineStr">
        <is>
          <t>Medir peso real (EAP-PDF)</t>
        </is>
      </c>
      <c r="E377" s="8" t="inlineStr">
        <is>
          <t>Campaña EAP-PDF → "Medir peso real"</t>
        </is>
      </c>
      <c r="F377" s="8" t="inlineStr"/>
      <c r="G377" s="4" t="inlineStr"/>
      <c r="H377" s="5" t="inlineStr"/>
      <c r="I377" s="4" t="inlineStr"/>
      <c r="J377" s="6" t="inlineStr"/>
      <c r="K377" s="5" t="inlineStr"/>
    </row>
    <row r="378">
      <c r="A378" s="2" t="inlineStr">
        <is>
          <t>CP-PES-03</t>
        </is>
      </c>
      <c r="B378" s="3" t="inlineStr">
        <is>
          <t>Higiene, límites de uso y costo del adjunto</t>
        </is>
      </c>
      <c r="C378" s="2" t="inlineStr">
        <is>
          <t>Media</t>
        </is>
      </c>
      <c r="D378" s="3" t="inlineStr">
        <is>
          <t>EAP-DOCX</t>
        </is>
      </c>
      <c r="E378" s="3" t="inlineStr">
        <is>
          <t>Campaña EAP-DOCX → medir</t>
        </is>
      </c>
      <c r="F378" s="3" t="inlineStr"/>
      <c r="G378" s="4" t="inlineStr"/>
      <c r="H378" s="5" t="inlineStr"/>
      <c r="I378" s="4" t="inlineStr"/>
      <c r="J378" s="6" t="inlineStr"/>
      <c r="K378" s="5" t="inlineStr"/>
    </row>
    <row r="379">
      <c r="A379" s="7" t="inlineStr">
        <is>
          <t>CP-PES-04</t>
        </is>
      </c>
      <c r="B379" s="8" t="inlineStr">
        <is>
          <t>Higiene, límites de uso y costo del adjunto</t>
        </is>
      </c>
      <c r="C379" s="7" t="inlineStr">
        <is>
          <t>Alta</t>
        </is>
      </c>
      <c r="D379" s="8" t="inlineStr">
        <is>
          <t>El botón aparece al elegir campaña</t>
        </is>
      </c>
      <c r="E379" s="8" t="inlineStr">
        <is>
          <t>Entrar a Muestras SIN campaña, luego elegir una EAU/EAP</t>
        </is>
      </c>
      <c r="F379" s="8" t="inlineStr"/>
      <c r="G379" s="4" t="inlineStr"/>
      <c r="H379" s="5" t="inlineStr"/>
      <c r="I379" s="4" t="inlineStr"/>
      <c r="J379" s="6" t="inlineStr"/>
      <c r="K379" s="5" t="inlineStr"/>
    </row>
    <row r="380">
      <c r="A380" s="2" t="inlineStr">
        <is>
          <t>CP-PES-05</t>
        </is>
      </c>
      <c r="B380" s="3" t="inlineStr">
        <is>
          <t>Higiene, límites de uso y costo del adjunto</t>
        </is>
      </c>
      <c r="C380" s="2" t="inlineStr">
        <is>
          <t>Media</t>
        </is>
      </c>
      <c r="D380" s="3" t="inlineStr">
        <is>
          <t>Cambiar de campaña limpia el estimado</t>
        </is>
      </c>
      <c r="E380" s="3" t="inlineStr">
        <is>
          <t>Elegir otra campaña tras haber medido</t>
        </is>
      </c>
      <c r="F380" s="3" t="inlineStr"/>
      <c r="G380" s="4" t="inlineStr"/>
      <c r="H380" s="5" t="inlineStr"/>
      <c r="I380" s="4" t="inlineStr"/>
      <c r="J380" s="6" t="inlineStr"/>
      <c r="K380" s="5" t="inlineStr"/>
    </row>
    <row r="381">
      <c r="A381" s="7" t="inlineStr">
        <is>
          <t>CP-PES-06</t>
        </is>
      </c>
      <c r="B381" s="8" t="inlineStr">
        <is>
          <t>Higiene, límites de uso y costo del adjunto</t>
        </is>
      </c>
      <c r="C381" s="7" t="inlineStr">
        <is>
          <t>Media</t>
        </is>
      </c>
      <c r="D381" s="8" t="inlineStr">
        <is>
          <t>Canal sin adjunto</t>
        </is>
      </c>
      <c r="E381" s="8" t="inlineStr">
        <is>
          <t>Campaña EM</t>
        </is>
      </c>
      <c r="F381" s="8" t="inlineStr"/>
      <c r="G381" s="4" t="inlineStr"/>
      <c r="H381" s="5" t="inlineStr"/>
      <c r="I381" s="4" t="inlineStr"/>
      <c r="J381" s="6" t="inlineStr"/>
      <c r="K381" s="5" t="inlineStr"/>
    </row>
    <row r="382">
      <c r="A382" s="2" t="inlineStr">
        <is>
          <t>CP-TAR-01</t>
        </is>
      </c>
      <c r="B382" s="3" t="inlineStr">
        <is>
          <t>Higiene, límites de uso y costo del adjunto</t>
        </is>
      </c>
      <c r="C382" s="2" t="inlineStr">
        <is>
          <t>Alta</t>
        </is>
      </c>
      <c r="D382" s="3" t="inlineStr">
        <is>
          <t>Segmentos calculados, no declarados</t>
        </is>
      </c>
      <c r="E382" s="3" t="inlineStr">
        <is>
          <t>Muestras con una campaña SMS</t>
        </is>
      </c>
      <c r="F382" s="3" t="inlineStr"/>
      <c r="G382" s="4" t="inlineStr"/>
      <c r="H382" s="5" t="inlineStr"/>
      <c r="I382" s="4" t="inlineStr"/>
      <c r="J382" s="6" t="inlineStr"/>
      <c r="K382" s="5" t="inlineStr"/>
    </row>
    <row r="383">
      <c r="A383" s="7" t="inlineStr">
        <is>
          <t>CP-TAR-02</t>
        </is>
      </c>
      <c r="B383" s="8" t="inlineStr">
        <is>
          <t>Higiene, límites de uso y costo del adjunto</t>
        </is>
      </c>
      <c r="C383" s="7" t="inlineStr">
        <is>
          <t>Alta</t>
        </is>
      </c>
      <c r="D383" s="8" t="inlineStr">
        <is>
          <t>Un SMS largo cuesta el doble</t>
        </is>
      </c>
      <c r="E383" s="8" t="inlineStr">
        <is>
          <t>Campaña con más de 160 caracteres</t>
        </is>
      </c>
      <c r="F383" s="8" t="inlineStr"/>
      <c r="G383" s="4" t="inlineStr"/>
      <c r="H383" s="5" t="inlineStr"/>
      <c r="I383" s="4" t="inlineStr"/>
      <c r="J383" s="6" t="inlineStr"/>
      <c r="K383" s="5" t="inlineStr"/>
    </row>
    <row r="384">
      <c r="A384" s="2" t="inlineStr">
        <is>
          <t>CP-TAR-03</t>
        </is>
      </c>
      <c r="B384" s="3" t="inlineStr">
        <is>
          <t>Higiene, límites de uso y costo del adjunto</t>
        </is>
      </c>
      <c r="C384" s="2" t="inlineStr">
        <is>
          <t>Alta</t>
        </is>
      </c>
      <c r="D384" s="3" t="inlineStr">
        <is>
          <t>Una emoji parte el mensaje</t>
        </is>
      </c>
      <c r="E384" s="3" t="inlineStr">
        <is>
          <t>Agregar una emoji a un SMS de ~100 caracteres</t>
        </is>
      </c>
      <c r="F384" s="3" t="inlineStr"/>
      <c r="G384" s="4" t="inlineStr"/>
      <c r="H384" s="5" t="inlineStr"/>
      <c r="I384" s="4" t="inlineStr"/>
      <c r="J384" s="6" t="inlineStr"/>
      <c r="K384" s="5" t="inlineStr"/>
    </row>
    <row r="385">
      <c r="A385" s="7" t="inlineStr">
        <is>
          <t>CP-TAR-04</t>
        </is>
      </c>
      <c r="B385" s="8" t="inlineStr">
        <is>
          <t>Higiene, límites de uso y costo del adjunto</t>
        </is>
      </c>
      <c r="C385" s="7" t="inlineStr">
        <is>
          <t>Alta</t>
        </is>
      </c>
      <c r="D385" s="8" t="inlineStr">
        <is>
          <t>Lo estimado es lo que se cobra</t>
        </is>
      </c>
      <c r="E385" s="8" t="inlineStr">
        <is>
          <t>Enviar real una campaña SMS de 2 segmentos y ver Saldo → Movimientos</t>
        </is>
      </c>
      <c r="F385" s="8" t="inlineStr"/>
      <c r="G385" s="4" t="inlineStr"/>
      <c r="H385" s="5" t="inlineStr"/>
      <c r="I385" s="4" t="inlineStr"/>
      <c r="J385" s="6" t="inlineStr"/>
      <c r="K385" s="5" t="inlineStr"/>
    </row>
    <row r="386">
      <c r="A386" s="2" t="inlineStr">
        <is>
          <t>CP-TAR-05</t>
        </is>
      </c>
      <c r="B386" s="3" t="inlineStr">
        <is>
          <t>Higiene, límites de uso y costo del adjunto</t>
        </is>
      </c>
      <c r="C386" s="2" t="inlineStr">
        <is>
          <t>Alta</t>
        </is>
      </c>
      <c r="D386" s="3" t="inlineStr">
        <is>
          <t>Tarifas nuevas visibles</t>
        </is>
      </c>
      <c r="E386" s="3" t="inlineStr">
        <is>
          <t>Admin → Tarifas → canal SMS y Voz</t>
        </is>
      </c>
      <c r="F386" s="3" t="inlineStr"/>
      <c r="G386" s="4" t="inlineStr"/>
      <c r="H386" s="5" t="inlineStr"/>
      <c r="I386" s="4" t="inlineStr"/>
      <c r="J386" s="6" t="inlineStr"/>
      <c r="K386" s="5" t="inlineStr"/>
    </row>
    <row r="387">
      <c r="A387" s="7" t="inlineStr">
        <is>
          <t>CP-TAR-06</t>
        </is>
      </c>
      <c r="B387" s="8" t="inlineStr">
        <is>
          <t>Higiene, límites de uso y costo del adjunto</t>
        </is>
      </c>
      <c r="C387" s="7" t="inlineStr">
        <is>
          <t>Media</t>
        </is>
      </c>
      <c r="D387" s="8" t="inlineStr">
        <is>
          <t>Ningún cliente por debajo del costo</t>
        </is>
      </c>
      <c r="E387" s="8" t="inlineStr">
        <is>
          <t>Admin → Tarifas → revisar overrides por cliente</t>
        </is>
      </c>
      <c r="F387" s="8" t="inlineStr"/>
      <c r="G387" s="4" t="inlineStr"/>
      <c r="H387" s="5" t="inlineStr"/>
      <c r="I387" s="4" t="inlineStr"/>
      <c r="J387" s="6" t="inlineStr"/>
      <c r="K387" s="5" t="inlineStr"/>
    </row>
    <row r="388">
      <c r="A388" s="2" t="inlineStr">
        <is>
          <t>CP-TAR-07</t>
        </is>
      </c>
      <c r="B388" s="3" t="inlineStr">
        <is>
          <t>Higiene, límites de uso y costo del adjunto</t>
        </is>
      </c>
      <c r="C388" s="2" t="inlineStr">
        <is>
          <t>Media</t>
        </is>
      </c>
      <c r="D388" s="3" t="inlineStr">
        <is>
          <t>Contador del editor SMS</t>
        </is>
      </c>
      <c r="E388" s="3" t="inlineStr">
        <is>
          <t>Escribir un SMS con emoji en Plantillas SMS</t>
        </is>
      </c>
      <c r="F388" s="3" t="inlineStr"/>
      <c r="G388" s="4" t="inlineStr"/>
      <c r="H388" s="5" t="inlineStr"/>
      <c r="I388" s="4" t="inlineStr"/>
      <c r="J388" s="6" t="inlineStr"/>
      <c r="K388" s="5" t="inlineStr"/>
    </row>
    <row r="389">
      <c r="A389" s="7" t="inlineStr">
        <is>
          <t>CP-PUB-01</t>
        </is>
      </c>
      <c r="B389" s="8" t="inlineStr">
        <is>
          <t>Higiene, límites de uso y costo del adjunto</t>
        </is>
      </c>
      <c r="C389" s="7" t="inlineStr">
        <is>
          <t>Media</t>
        </is>
      </c>
      <c r="D389" s="8" t="inlineStr">
        <is>
          <t>La landing no publica precios</t>
        </is>
      </c>
      <c r="E389" s="8" t="inlineStr">
        <is>
          <t>Abrir la landing → sección Precios</t>
        </is>
      </c>
      <c r="F389" s="8" t="inlineStr"/>
      <c r="G389" s="4" t="inlineStr"/>
      <c r="H389" s="5" t="inlineStr"/>
      <c r="I389" s="4" t="inlineStr"/>
      <c r="J389" s="6" t="inlineStr"/>
      <c r="K389" s="5" t="inlineStr"/>
    </row>
    <row r="390">
      <c r="A390" s="2" t="inlineStr">
        <is>
          <t>CP-SEO-01</t>
        </is>
      </c>
      <c r="B390" s="3" t="inlineStr">
        <is>
          <t>Higiene, límites de uso y costo del adjunto</t>
        </is>
      </c>
      <c r="C390" s="2" t="inlineStr">
        <is>
          <t>Alta</t>
        </is>
      </c>
      <c r="D390" s="3" t="inlineStr">
        <is>
          <t>Título e idioma</t>
        </is>
      </c>
      <c r="E390" s="3" t="inlineStr">
        <is>
          <t>Ver el código fuente de la landing</t>
        </is>
      </c>
      <c r="F390" s="3" t="inlineStr"/>
      <c r="G390" s="4" t="inlineStr"/>
      <c r="H390" s="5" t="inlineStr"/>
      <c r="I390" s="4" t="inlineStr"/>
      <c r="J390" s="6" t="inlineStr"/>
      <c r="K390" s="5" t="inlineStr"/>
    </row>
    <row r="391">
      <c r="A391" s="7" t="inlineStr">
        <is>
          <t>CP-SEO-02</t>
        </is>
      </c>
      <c r="B391" s="8" t="inlineStr">
        <is>
          <t>Higiene, límites de uso y costo del adjunto</t>
        </is>
      </c>
      <c r="C391" s="7" t="inlineStr">
        <is>
          <t>Alta</t>
        </is>
      </c>
      <c r="D391" s="8" t="inlineStr">
        <is>
          <t>Vista previa al compartir</t>
        </is>
      </c>
      <c r="E391" s="8" t="inlineStr">
        <is>
          <t>Pegar https://www.mailconnect.com.co/ en WhatsApp o LinkedIn</t>
        </is>
      </c>
      <c r="F391" s="8" t="inlineStr"/>
      <c r="G391" s="4" t="inlineStr"/>
      <c r="H391" s="5" t="inlineStr"/>
      <c r="I391" s="4" t="inlineStr"/>
      <c r="J391" s="6" t="inlineStr"/>
      <c r="K391" s="5" t="inlineStr"/>
    </row>
    <row r="392">
      <c r="A392" s="2" t="inlineStr">
        <is>
          <t>CP-SEO-03</t>
        </is>
      </c>
      <c r="B392" s="3" t="inlineStr">
        <is>
          <t>Higiene, límites de uso y costo del adjunto</t>
        </is>
      </c>
      <c r="C392" s="2" t="inlineStr">
        <is>
          <t>Media</t>
        </is>
      </c>
      <c r="D392" s="3" t="inlineStr">
        <is>
          <t>Favicon</t>
        </is>
      </c>
      <c r="E392" s="3" t="inlineStr">
        <is>
          <t>Abrir la landing y mirar la pestaña</t>
        </is>
      </c>
      <c r="F392" s="3" t="inlineStr"/>
      <c r="G392" s="4" t="inlineStr"/>
      <c r="H392" s="5" t="inlineStr"/>
      <c r="I392" s="4" t="inlineStr"/>
      <c r="J392" s="6" t="inlineStr"/>
      <c r="K392" s="5" t="inlineStr"/>
    </row>
    <row r="393">
      <c r="A393" s="7" t="inlineStr">
        <is>
          <t>CP-SEO-04</t>
        </is>
      </c>
      <c r="B393" s="8" t="inlineStr">
        <is>
          <t>Higiene, límites de uso y costo del adjunto</t>
        </is>
      </c>
      <c r="C393" s="7" t="inlineStr">
        <is>
          <t>Media</t>
        </is>
      </c>
      <c r="D393" s="8" t="inlineStr">
        <is>
          <t>Icono en iOS</t>
        </is>
      </c>
      <c r="E393" s="8" t="inlineStr">
        <is>
          <t>"Añadir a pantalla de inicio" desde Safari</t>
        </is>
      </c>
      <c r="F393" s="8" t="inlineStr"/>
      <c r="G393" s="4" t="inlineStr"/>
      <c r="H393" s="5" t="inlineStr"/>
      <c r="I393" s="4" t="inlineStr"/>
      <c r="J393" s="6" t="inlineStr"/>
      <c r="K393" s="5" t="inlineStr"/>
    </row>
    <row r="394">
      <c r="A394" s="2" t="inlineStr">
        <is>
          <t>CP-SEO-05</t>
        </is>
      </c>
      <c r="B394" s="3" t="inlineStr">
        <is>
          <t>Higiene, límites de uso y costo del adjunto</t>
        </is>
      </c>
      <c r="C394" s="2" t="inlineStr">
        <is>
          <t>Media</t>
        </is>
      </c>
      <c r="D394" s="3" t="inlineStr">
        <is>
          <t>Datos estructurados</t>
        </is>
      </c>
      <c r="E394" s="3" t="inlineStr">
        <is>
          <t>Pasar la URL por el validador de resultados enriquecidos de Google</t>
        </is>
      </c>
      <c r="F394" s="3" t="inlineStr"/>
      <c r="G394" s="4" t="inlineStr"/>
      <c r="H394" s="5" t="inlineStr"/>
      <c r="I394" s="4" t="inlineStr"/>
      <c r="J394" s="6" t="inlineStr"/>
      <c r="K394" s="5" t="inlineStr"/>
    </row>
    <row r="395">
      <c r="A395" s="7" t="inlineStr">
        <is>
          <t>CP-SEO-06</t>
        </is>
      </c>
      <c r="B395" s="8" t="inlineStr">
        <is>
          <t>Higiene, límites de uso y costo del adjunto</t>
        </is>
      </c>
      <c r="C395" s="7" t="inlineStr">
        <is>
          <t>Media</t>
        </is>
      </c>
      <c r="D395" s="8" t="inlineStr">
        <is>
          <t>Canonical y robots</t>
        </is>
      </c>
      <c r="E395" s="8" t="inlineStr">
        <is>
          <t>Abrir /robots.txt y /sitemap.xml</t>
        </is>
      </c>
      <c r="F395" s="8" t="inlineStr"/>
      <c r="G395" s="4" t="inlineStr"/>
      <c r="H395" s="5" t="inlineStr"/>
      <c r="I395" s="4" t="inlineStr"/>
      <c r="J395" s="6" t="inlineStr"/>
      <c r="K395" s="5" t="inlineStr"/>
    </row>
    <row r="396">
      <c r="A396" s="2" t="inlineStr">
        <is>
          <t>CP-LAN-01</t>
        </is>
      </c>
      <c r="B396" s="3" t="inlineStr">
        <is>
          <t>Higiene, límites de uso y costo del adjunto</t>
        </is>
      </c>
      <c r="C396" s="2" t="inlineStr">
        <is>
          <t>Alta</t>
        </is>
      </c>
      <c r="D396" s="3" t="inlineStr">
        <is>
          <t>Tabla de precios por canal</t>
        </is>
      </c>
      <c r="E396" s="3" t="inlineStr">
        <is>
          <t>Landing → Precios</t>
        </is>
      </c>
      <c r="F396" s="3" t="inlineStr"/>
      <c r="G396" s="4" t="inlineStr"/>
      <c r="H396" s="5" t="inlineStr"/>
      <c r="I396" s="4" t="inlineStr"/>
      <c r="J396" s="6" t="inlineStr"/>
      <c r="K396" s="5" t="inlineStr"/>
    </row>
    <row r="397">
      <c r="A397" s="7" t="inlineStr">
        <is>
          <t>CP-LAN-02</t>
        </is>
      </c>
      <c r="B397" s="8" t="inlineStr">
        <is>
          <t>Higiene, límites de uso y costo del adjunto</t>
        </is>
      </c>
      <c r="C397" s="7" t="inlineStr">
        <is>
          <t>Media</t>
        </is>
      </c>
      <c r="D397" s="8" t="inlineStr">
        <is>
          <t>Letra pequeña de precios</t>
        </is>
      </c>
      <c r="E397" s="8" t="inlineStr">
        <is>
          <t>Leer bajo la tabla</t>
        </is>
      </c>
      <c r="F397" s="8" t="inlineStr"/>
      <c r="G397" s="4" t="inlineStr"/>
      <c r="H397" s="5" t="inlineStr"/>
      <c r="I397" s="4" t="inlineStr"/>
      <c r="J397" s="6" t="inlineStr"/>
      <c r="K397" s="5" t="inlineStr"/>
    </row>
    <row r="398">
      <c r="A398" s="2" t="inlineStr">
        <is>
          <t>CP-LAN-03</t>
        </is>
      </c>
      <c r="B398" s="3" t="inlineStr">
        <is>
          <t>Higiene, límites de uso y costo del adjunto</t>
        </is>
      </c>
      <c r="C398" s="2" t="inlineStr">
        <is>
          <t>Media</t>
        </is>
      </c>
      <c r="D398" s="3" t="inlineStr">
        <is>
          <t>Icono de WhatsApp</t>
        </is>
      </c>
      <c r="E398" s="3" t="inlineStr">
        <is>
          <t>Sección Canales</t>
        </is>
      </c>
      <c r="F398" s="3" t="inlineStr"/>
      <c r="G398" s="4" t="inlineStr"/>
      <c r="H398" s="5" t="inlineStr"/>
      <c r="I398" s="4" t="inlineStr"/>
      <c r="J398" s="6" t="inlineStr"/>
      <c r="K398" s="5" t="inlineStr"/>
    </row>
    <row r="399">
      <c r="A399" s="7" t="inlineStr">
        <is>
          <t>CP-LAN-04</t>
        </is>
      </c>
      <c r="B399" s="8" t="inlineStr">
        <is>
          <t>Higiene, límites de uso y costo del adjunto</t>
        </is>
      </c>
      <c r="C399" s="7" t="inlineStr">
        <is>
          <t>Media</t>
        </is>
      </c>
      <c r="D399" s="8" t="inlineStr">
        <is>
          <t>Sin promesa de 500 correos</t>
        </is>
      </c>
      <c r="E399" s="8" t="inlineStr">
        <is>
          <t>Recorrer toda la landing</t>
        </is>
      </c>
      <c r="F399" s="8" t="inlineStr"/>
      <c r="G399" s="4" t="inlineStr"/>
      <c r="H399" s="5" t="inlineStr"/>
      <c r="I399" s="4" t="inlineStr"/>
      <c r="J399" s="6" t="inlineStr"/>
      <c r="K399" s="5" t="inlineStr"/>
    </row>
    <row r="400">
      <c r="A400" s="2" t="inlineStr">
        <is>
          <t>CP-LAN-05</t>
        </is>
      </c>
      <c r="B400" s="3" t="inlineStr">
        <is>
          <t>Higiene, límites de uso y costo del adjunto</t>
        </is>
      </c>
      <c r="C400" s="2" t="inlineStr">
        <is>
          <t>Media</t>
        </is>
      </c>
      <c r="D400" s="3" t="inlineStr">
        <is>
          <t>Footer sin enlaces rotos</t>
        </is>
      </c>
      <c r="E400" s="3" t="inlineStr">
        <is>
          <t>Hacer clic en cada enlace del footer</t>
        </is>
      </c>
      <c r="F400" s="3" t="inlineStr"/>
      <c r="G400" s="4" t="inlineStr"/>
      <c r="H400" s="5" t="inlineStr"/>
      <c r="I400" s="4" t="inlineStr"/>
      <c r="J400" s="6" t="inlineStr"/>
      <c r="K400" s="5" t="inlineStr"/>
    </row>
    <row r="401">
      <c r="A401" s="7" t="inlineStr">
        <is>
          <t>CP-A11Y-01</t>
        </is>
      </c>
      <c r="B401" s="8" t="inlineStr">
        <is>
          <t>Higiene, límites de uso y costo del adjunto</t>
        </is>
      </c>
      <c r="C401" s="7" t="inlineStr">
        <is>
          <t>Alta</t>
        </is>
      </c>
      <c r="D401" s="8" t="inlineStr">
        <is>
          <t>Cerrar el modal con teclado</t>
        </is>
      </c>
      <c r="E401" s="8" t="inlineStr">
        <is>
          <t>Abrir /?activacion=ok y pulsar Escape</t>
        </is>
      </c>
      <c r="F401" s="8" t="inlineStr"/>
      <c r="G401" s="4" t="inlineStr"/>
      <c r="H401" s="5" t="inlineStr"/>
      <c r="I401" s="4" t="inlineStr"/>
      <c r="J401" s="6" t="inlineStr"/>
      <c r="K401" s="5" t="inlineStr"/>
    </row>
    <row r="402">
      <c r="A402" s="2" t="inlineStr">
        <is>
          <t>CP-A11Y-02</t>
        </is>
      </c>
      <c r="B402" s="3" t="inlineStr">
        <is>
          <t>Higiene, límites de uso y costo del adjunto</t>
        </is>
      </c>
      <c r="C402" s="2" t="inlineStr">
        <is>
          <t>Media</t>
        </is>
      </c>
      <c r="D402" s="3" t="inlineStr">
        <is>
          <t>Foco en el modal</t>
        </is>
      </c>
      <c r="E402" s="3" t="inlineStr">
        <is>
          <t>Abrir /?activacion=ok y pulsar Tab</t>
        </is>
      </c>
      <c r="F402" s="3" t="inlineStr"/>
      <c r="G402" s="4" t="inlineStr"/>
      <c r="H402" s="5" t="inlineStr"/>
      <c r="I402" s="4" t="inlineStr"/>
      <c r="J402" s="6" t="inlineStr"/>
      <c r="K402" s="5" t="inlineStr"/>
    </row>
    <row r="403">
      <c r="A403" s="7" t="inlineStr">
        <is>
          <t>CP-A11Y-03</t>
        </is>
      </c>
      <c r="B403" s="8" t="inlineStr">
        <is>
          <t>Higiene, límites de uso y costo del adjunto</t>
        </is>
      </c>
      <c r="C403" s="7" t="inlineStr">
        <is>
          <t>Media</t>
        </is>
      </c>
      <c r="D403" s="8" t="inlineStr">
        <is>
          <t>Lector de pantalla</t>
        </is>
      </c>
      <c r="E403" s="8" t="inlineStr">
        <is>
          <t>Abrir el modal con un lector activo</t>
        </is>
      </c>
      <c r="F403" s="8" t="inlineStr"/>
      <c r="G403" s="4" t="inlineStr"/>
      <c r="H403" s="5" t="inlineStr"/>
      <c r="I403" s="4" t="inlineStr"/>
      <c r="J403" s="6" t="inlineStr"/>
      <c r="K403" s="5" t="inlineStr"/>
    </row>
    <row r="404">
      <c r="A404" s="2" t="inlineStr">
        <is>
          <t>CP-CAS-01</t>
        </is>
      </c>
      <c r="B404" s="3" t="inlineStr">
        <is>
          <t>Cascada omnicanal y series</t>
        </is>
      </c>
      <c r="C404" s="2" t="inlineStr">
        <is>
          <t>Alta</t>
        </is>
      </c>
      <c r="D404" s="3" t="inlineStr">
        <is>
          <t>Lanzar cascada</t>
        </is>
      </c>
      <c r="E404" s="3" t="inlineStr">
        <is>
          <t>Configurar pasos (correo → SMS → WhatsApp) y lanzar</t>
        </is>
      </c>
      <c r="F404" s="3" t="inlineStr"/>
      <c r="G404" s="4" t="inlineStr"/>
      <c r="H404" s="5" t="inlineStr"/>
      <c r="I404" s="4" t="inlineStr"/>
      <c r="J404" s="6" t="inlineStr"/>
      <c r="K404" s="5" t="inlineStr"/>
    </row>
    <row r="405">
      <c r="A405" s="7" t="inlineStr">
        <is>
          <t>CP-CAS-02</t>
        </is>
      </c>
      <c r="B405" s="8" t="inlineStr">
        <is>
          <t>Cascada omnicanal y series</t>
        </is>
      </c>
      <c r="C405" s="7" t="inlineStr">
        <is>
          <t>Alta</t>
        </is>
      </c>
      <c r="D405" s="8" t="inlineStr">
        <is>
          <t>Escalado al siguiente canal</t>
        </is>
      </c>
      <c r="E405" s="8" t="inlineStr">
        <is>
          <t>Contacto que no cumple el criterio en el paso 0</t>
        </is>
      </c>
      <c r="F405" s="8" t="inlineStr"/>
      <c r="G405" s="4" t="inlineStr"/>
      <c r="H405" s="5" t="inlineStr"/>
      <c r="I405" s="4" t="inlineStr"/>
      <c r="J405" s="6" t="inlineStr"/>
      <c r="K405" s="5" t="inlineStr"/>
    </row>
    <row r="406">
      <c r="A406" s="2" t="inlineStr">
        <is>
          <t>CP-CAS-03</t>
        </is>
      </c>
      <c r="B406" s="3" t="inlineStr">
        <is>
          <t>Cascada omnicanal y series</t>
        </is>
      </c>
      <c r="C406" s="2" t="inlineStr">
        <is>
          <t>Media</t>
        </is>
      </c>
      <c r="D406" s="3" t="inlineStr">
        <is>
          <t>Confirmado no escala</t>
        </is>
      </c>
      <c r="E406" s="3" t="inlineStr">
        <is>
          <t>Contacto que sí cumple el criterio</t>
        </is>
      </c>
      <c r="F406" s="3" t="inlineStr"/>
      <c r="G406" s="4" t="inlineStr"/>
      <c r="H406" s="5" t="inlineStr"/>
      <c r="I406" s="4" t="inlineStr"/>
      <c r="J406" s="6" t="inlineStr"/>
      <c r="K406" s="5" t="inlineStr"/>
    </row>
    <row r="407">
      <c r="A407" s="7" t="inlineStr">
        <is>
          <t>CP-CAS-04</t>
        </is>
      </c>
      <c r="B407" s="8" t="inlineStr">
        <is>
          <t>Cascada omnicanal y series</t>
        </is>
      </c>
      <c r="C407" s="7" t="inlineStr">
        <is>
          <t>Alta</t>
        </is>
      </c>
      <c r="D407" s="8" t="inlineStr">
        <is>
          <t>Saldo insuficiente</t>
        </is>
      </c>
      <c r="E407" s="8" t="inlineStr">
        <is>
          <t>Cascada sin saldo</t>
        </is>
      </c>
      <c r="F407" s="8" t="inlineStr"/>
      <c r="G407" s="4" t="inlineStr"/>
      <c r="H407" s="5" t="inlineStr"/>
      <c r="I407" s="4" t="inlineStr"/>
      <c r="J407" s="6" t="inlineStr"/>
      <c r="K407" s="5" t="inlineStr"/>
    </row>
    <row r="408">
      <c r="A408" s="2" t="inlineStr">
        <is>
          <t>CP-CAS-05</t>
        </is>
      </c>
      <c r="B408" s="3" t="inlineStr">
        <is>
          <t>Cascada omnicanal y series</t>
        </is>
      </c>
      <c r="C408" s="2" t="inlineStr">
        <is>
          <t>Media</t>
        </is>
      </c>
      <c r="D408" s="3" t="inlineStr">
        <is>
          <t>Consentimiento por canal</t>
        </is>
      </c>
      <c r="E408" s="3" t="inlineStr">
        <is>
          <t>Contacto sin consentimiento del canal 0</t>
        </is>
      </c>
      <c r="F408" s="3" t="inlineStr"/>
      <c r="G408" s="4" t="inlineStr"/>
      <c r="H408" s="5" t="inlineStr"/>
      <c r="I408" s="4" t="inlineStr"/>
      <c r="J408" s="6" t="inlineStr"/>
      <c r="K408" s="5" t="inlineStr"/>
    </row>
    <row r="409">
      <c r="A409" s="7" t="inlineStr">
        <is>
          <t>CP-CAS-06</t>
        </is>
      </c>
      <c r="B409" s="8" t="inlineStr">
        <is>
          <t>Cascada omnicanal y series</t>
        </is>
      </c>
      <c r="C409" s="7" t="inlineStr">
        <is>
          <t>Media</t>
        </is>
      </c>
      <c r="D409" s="8" t="inlineStr">
        <is>
          <t>Listado de cascadas</t>
        </is>
      </c>
      <c r="E409" s="8" t="inlineStr">
        <is>
          <t>Abrir el listado</t>
        </is>
      </c>
      <c r="F409" s="8" t="inlineStr"/>
      <c r="G409" s="4" t="inlineStr"/>
      <c r="H409" s="5" t="inlineStr"/>
      <c r="I409" s="4" t="inlineStr"/>
      <c r="J409" s="6" t="inlineStr"/>
      <c r="K409" s="5" t="inlineStr"/>
    </row>
    <row r="410">
      <c r="A410" s="2" t="inlineStr">
        <is>
          <t>CP-SER-01</t>
        </is>
      </c>
      <c r="B410" s="3" t="inlineStr">
        <is>
          <t>Cascada omnicanal y series</t>
        </is>
      </c>
      <c r="C410" s="2" t="inlineStr">
        <is>
          <t>Alta</t>
        </is>
      </c>
      <c r="D410" s="3" t="inlineStr">
        <is>
          <t>Serie de 30 días (cliente)</t>
        </is>
      </c>
      <c r="E410" s="3" t="inlineStr">
        <is>
          <t>Estadísticas → gráfico "Actividad de los últimos 30 días"</t>
        </is>
      </c>
      <c r="F410" s="3" t="inlineStr"/>
      <c r="G410" s="4" t="inlineStr"/>
      <c r="H410" s="5" t="inlineStr"/>
      <c r="I410" s="4" t="inlineStr"/>
      <c r="J410" s="6" t="inlineStr"/>
      <c r="K410" s="5" t="inlineStr"/>
    </row>
    <row r="411">
      <c r="A411" s="7" t="inlineStr">
        <is>
          <t>CP-SER-02</t>
        </is>
      </c>
      <c r="B411" s="8" t="inlineStr">
        <is>
          <t>Cascada omnicanal y series</t>
        </is>
      </c>
      <c r="C411" s="7" t="inlineStr">
        <is>
          <t>Media</t>
        </is>
      </c>
      <c r="D411" s="8" t="inlineStr">
        <is>
          <t>Serie global (admin)</t>
        </is>
      </c>
      <c r="E411" s="8" t="inlineStr">
        <is>
          <t>Panel de control → gráfico</t>
        </is>
      </c>
      <c r="F411" s="8" t="inlineStr"/>
      <c r="G411" s="4" t="inlineStr"/>
      <c r="H411" s="5" t="inlineStr"/>
      <c r="I411" s="4" t="inlineStr"/>
      <c r="J411" s="6" t="inlineStr"/>
      <c r="K411" s="5" t="inlineStr"/>
    </row>
    <row r="412">
      <c r="A412" s="2" t="inlineStr">
        <is>
          <t>CP-SER-03</t>
        </is>
      </c>
      <c r="B412" s="3" t="inlineStr">
        <is>
          <t>Cascada omnicanal y series</t>
        </is>
      </c>
      <c r="C412" s="2" t="inlineStr">
        <is>
          <t>Media</t>
        </is>
      </c>
      <c r="D412" s="3" t="inlineStr">
        <is>
          <t>Muestras excluidas</t>
        </is>
      </c>
      <c r="E412" s="3" t="inlineStr">
        <is>
          <t>Enviar muestras y revisar la serie</t>
        </is>
      </c>
      <c r="F412" s="3" t="inlineStr"/>
      <c r="G412" s="4" t="inlineStr"/>
      <c r="H412" s="5" t="inlineStr"/>
      <c r="I412" s="4" t="inlineStr"/>
      <c r="J412" s="6" t="inlineStr"/>
      <c r="K412" s="5" t="inlineStr"/>
    </row>
    <row r="413">
      <c r="A413" s="7" t="inlineStr">
        <is>
          <t>CP-SER-04</t>
        </is>
      </c>
      <c r="B413" s="8" t="inlineStr">
        <is>
          <t>Cascada omnicanal y series</t>
        </is>
      </c>
      <c r="C413" s="7" t="inlineStr">
        <is>
          <t>Media</t>
        </is>
      </c>
      <c r="D413" s="8" t="inlineStr">
        <is>
          <t>Aislamiento</t>
        </is>
      </c>
      <c r="E413" s="8" t="inlineStr">
        <is>
          <t>Comparar la serie de dos clientes</t>
        </is>
      </c>
      <c r="F413" s="8" t="inlineStr"/>
      <c r="G413" s="4" t="inlineStr"/>
      <c r="H413" s="5" t="inlineStr"/>
      <c r="I413" s="4" t="inlineStr"/>
      <c r="J413" s="6" t="inlineStr"/>
      <c r="K413" s="5" t="inlineStr"/>
    </row>
    <row r="414">
      <c r="A414" s="2" t="inlineStr">
        <is>
          <t>CP-SER-05</t>
        </is>
      </c>
      <c r="B414" s="3" t="inlineStr">
        <is>
          <t>Cascada omnicanal y series</t>
        </is>
      </c>
      <c r="C414" s="2" t="inlineStr">
        <is>
          <t>Baja</t>
        </is>
      </c>
      <c r="D414" s="3" t="inlineStr">
        <is>
          <t>Adiós "(parcial)"</t>
        </is>
      </c>
      <c r="E414" s="3" t="inlineStr">
        <is>
          <t>Con el rollup poblado, abrir Estadísticas/Facturación</t>
        </is>
      </c>
      <c r="F414" s="3" t="inlineStr"/>
      <c r="G414" s="4" t="inlineStr"/>
      <c r="H414" s="5" t="inlineStr"/>
      <c r="I414" s="4" t="inlineStr"/>
      <c r="J414" s="6" t="inlineStr"/>
      <c r="K414" s="5" t="inlineStr"/>
    </row>
    <row r="415">
      <c r="A415" s="7" t="inlineStr">
        <is>
          <t>CP-SER-06</t>
        </is>
      </c>
      <c r="B415" s="8" t="inlineStr">
        <is>
          <t>Cascada omnicanal y series</t>
        </is>
      </c>
      <c r="C415" s="7" t="inlineStr">
        <is>
          <t>Baja</t>
        </is>
      </c>
      <c r="D415" s="8" t="inlineStr">
        <is>
          <t>Leyenda interactiva</t>
        </is>
      </c>
      <c r="E415" s="8" t="inlineStr">
        <is>
          <t>Ocultar/mostrar series en el gráfico</t>
        </is>
      </c>
      <c r="F415" s="8" t="inlineStr"/>
      <c r="G415" s="4" t="inlineStr"/>
      <c r="H415" s="5" t="inlineStr"/>
      <c r="I415" s="4" t="inlineStr"/>
      <c r="J415" s="6" t="inlineStr"/>
      <c r="K415" s="5" t="inlineStr"/>
    </row>
    <row r="416">
      <c r="A416" s="2" t="inlineStr">
        <is>
          <t>CP-REG-01</t>
        </is>
      </c>
      <c r="B416" s="3" t="inlineStr">
        <is>
          <t>Regresión / transversales</t>
        </is>
      </c>
      <c r="C416" s="2" t="inlineStr">
        <is>
          <t>Alta</t>
        </is>
      </c>
      <c r="D416" s="3" t="inlineStr">
        <is>
          <t>Aislamiento multi-tenant</t>
        </is>
      </c>
      <c r="E416" s="3" t="inlineStr">
        <is>
          <t>Cliente A intenta ver datos de B (campañas/bases/stats)</t>
        </is>
      </c>
      <c r="F416" s="3" t="inlineStr"/>
      <c r="G416" s="4" t="inlineStr"/>
      <c r="H416" s="5" t="inlineStr"/>
      <c r="I416" s="4" t="inlineStr"/>
      <c r="J416" s="6" t="inlineStr"/>
      <c r="K416" s="5" t="inlineStr"/>
    </row>
    <row r="417">
      <c r="A417" s="7" t="inlineStr">
        <is>
          <t>CP-REG-02</t>
        </is>
      </c>
      <c r="B417" s="8" t="inlineStr">
        <is>
          <t>Regresión / transversales</t>
        </is>
      </c>
      <c r="C417" s="7" t="inlineStr">
        <is>
          <t>Media</t>
        </is>
      </c>
      <c r="D417" s="8" t="inlineStr">
        <is>
          <t>Suite automática</t>
        </is>
      </c>
      <c r="E417" s="8" t="inlineStr">
        <is>
          <t>Correr pytest 08_Pruebas/PruebasSeguridad</t>
        </is>
      </c>
      <c r="F417" s="8" t="inlineStr"/>
      <c r="G417" s="4" t="inlineStr"/>
      <c r="H417" s="5" t="inlineStr"/>
      <c r="I417" s="4" t="inlineStr"/>
      <c r="J417" s="6" t="inlineStr"/>
      <c r="K417" s="5" t="inlineStr"/>
    </row>
    <row r="418">
      <c r="A418" s="2" t="inlineStr">
        <is>
          <t>CP-REG-03</t>
        </is>
      </c>
      <c r="B418" s="3" t="inlineStr">
        <is>
          <t>Regresión / transversales</t>
        </is>
      </c>
      <c r="C418" s="2" t="inlineStr">
        <is>
          <t>Media</t>
        </is>
      </c>
      <c r="D418" s="3" t="inlineStr">
        <is>
          <t>Build del front</t>
        </is>
      </c>
      <c r="E418" s="3" t="inlineStr">
        <is>
          <t>npm run build</t>
        </is>
      </c>
      <c r="F418" s="3" t="inlineStr"/>
      <c r="G418" s="4" t="inlineStr"/>
      <c r="H418" s="5" t="inlineStr"/>
      <c r="I418" s="4" t="inlineStr"/>
      <c r="J418" s="6" t="inlineStr"/>
      <c r="K418" s="5" t="inlineStr"/>
    </row>
    <row r="419">
      <c r="A419" s="7" t="inlineStr">
        <is>
          <t>CP-REG-06</t>
        </is>
      </c>
      <c r="B419" s="8" t="inlineStr">
        <is>
          <t>Regresión / transversales</t>
        </is>
      </c>
      <c r="C419" s="7" t="inlineStr">
        <is>
          <t>Media</t>
        </is>
      </c>
      <c r="D419" s="8" t="inlineStr">
        <is>
          <t>Pruebas del frontend</t>
        </is>
      </c>
      <c r="E419" s="8" t="inlineStr">
        <is>
          <t>npm test en 05_Frontend/Front/page</t>
        </is>
      </c>
      <c r="F419" s="8" t="inlineStr"/>
      <c r="G419" s="4" t="inlineStr"/>
      <c r="H419" s="5" t="inlineStr"/>
      <c r="I419" s="4" t="inlineStr"/>
      <c r="J419" s="6" t="inlineStr"/>
      <c r="K419" s="5" t="inlineStr"/>
    </row>
    <row r="420">
      <c r="A420" s="2" t="inlineStr">
        <is>
          <t>CP-REG-07</t>
        </is>
      </c>
      <c r="B420" s="3" t="inlineStr">
        <is>
          <t>Regresión / transversales</t>
        </is>
      </c>
      <c r="C420" s="2" t="inlineStr">
        <is>
          <t>Alta</t>
        </is>
      </c>
      <c r="D420" s="3" t="inlineStr">
        <is>
          <t>Sesión y tenant en TODA ruta nueva</t>
        </is>
      </c>
      <c r="E420" s="3" t="inlineStr">
        <is>
          <t>Llamar cualquier endpoint nuevo sin token y con token de otro cliente</t>
        </is>
      </c>
      <c r="F420" s="3" t="inlineStr"/>
      <c r="G420" s="4" t="inlineStr"/>
      <c r="H420" s="5" t="inlineStr"/>
      <c r="I420" s="4" t="inlineStr"/>
      <c r="J420" s="6" t="inlineStr"/>
      <c r="K420" s="5" t="inlineStr"/>
    </row>
    <row r="421">
      <c r="A421" s="7" t="inlineStr">
        <is>
          <t>CP-REG-08</t>
        </is>
      </c>
      <c r="B421" s="8" t="inlineStr">
        <is>
          <t>Regresión / transversales</t>
        </is>
      </c>
      <c r="C421" s="7" t="inlineStr">
        <is>
          <t>Baja</t>
        </is>
      </c>
      <c r="D421" s="8" t="inlineStr">
        <is>
          <t>Fechas unificadas</t>
        </is>
      </c>
      <c r="E421" s="8" t="inlineStr">
        <is>
          <t>Revisar las tablas del portal y del admin</t>
        </is>
      </c>
      <c r="F421" s="8" t="inlineStr"/>
      <c r="G421" s="4" t="inlineStr"/>
      <c r="H421" s="5" t="inlineStr"/>
      <c r="I421" s="4" t="inlineStr"/>
      <c r="J421" s="6" t="inlineStr"/>
      <c r="K421" s="5" t="inlineStr"/>
    </row>
    <row r="422">
      <c r="A422" s="2" t="inlineStr">
        <is>
          <t>CP-REG-04</t>
        </is>
      </c>
      <c r="B422" s="3" t="inlineStr">
        <is>
          <t>Regresión / transversales</t>
        </is>
      </c>
      <c r="C422" s="2" t="inlineStr">
        <is>
          <t>Baja</t>
        </is>
      </c>
      <c r="D422" s="3" t="inlineStr">
        <is>
          <t>Tema claro/oscuro</t>
        </is>
      </c>
      <c r="E422" s="3" t="inlineStr">
        <is>
          <t>Alternar tema en portal y admin</t>
        </is>
      </c>
      <c r="F422" s="3" t="inlineStr"/>
      <c r="G422" s="4" t="inlineStr"/>
      <c r="H422" s="5" t="inlineStr"/>
      <c r="I422" s="4" t="inlineStr"/>
      <c r="J422" s="6" t="inlineStr"/>
      <c r="K422" s="5" t="inlineStr"/>
    </row>
    <row r="423">
      <c r="A423" s="7" t="inlineStr">
        <is>
          <t>CP-REG-05</t>
        </is>
      </c>
      <c r="B423" s="8" t="inlineStr">
        <is>
          <t>Regresión / transversales</t>
        </is>
      </c>
      <c r="C423" s="7" t="inlineStr">
        <is>
          <t>Baja</t>
        </is>
      </c>
      <c r="D423" s="8" t="inlineStr">
        <is>
          <t>Responsive</t>
        </is>
      </c>
      <c r="E423" s="8" t="inlineStr">
        <is>
          <t>Portal/admin en móvil</t>
        </is>
      </c>
      <c r="F423" s="8" t="inlineStr"/>
      <c r="G423" s="4" t="inlineStr"/>
      <c r="H423" s="5" t="inlineStr"/>
      <c r="I423" s="4" t="inlineStr"/>
      <c r="J423" s="6" t="inlineStr"/>
      <c r="K423" s="5" t="inlineStr"/>
    </row>
  </sheetData>
  <autoFilter ref="A1:K423"/>
  <dataValidations count="2">
    <dataValidation sqref="H2:H423" showDropDown="0" showInputMessage="0" showErrorMessage="0" allowBlank="1" error="Elige un valor de la lista." promptTitle="Estado del caso" prompt="Pasó / No pasó / Bloqueado / No aplica" type="list">
      <formula1>"Pasó,No pasó,Bloqueado,No aplica"</formula1>
    </dataValidation>
    <dataValidation sqref="K2:K423" showDropDown="0" showInputMessage="0" showErrorMessage="0" allowBlank="1" type="date" operator="greaterThan">
      <formula1>DATE(2020,1,1)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9" t="inlineStr">
        <is>
          <t>Resumen de ejecución — Casos de prueba QA MailConnect</t>
        </is>
      </c>
      <c r="B1" s="10" t="n"/>
      <c r="C1" s="10" t="n"/>
      <c r="D1" s="10" t="n"/>
      <c r="E1" s="10" t="n"/>
    </row>
    <row r="2">
      <c r="A2" s="11" t="inlineStr">
        <is>
          <t>Se calcula solo desde la hoja "Casos". No escribir aquí.</t>
        </is>
      </c>
      <c r="B2" s="10" t="n"/>
      <c r="C2" s="10" t="n"/>
      <c r="D2" s="10" t="n"/>
      <c r="E2" s="10" t="n"/>
    </row>
    <row r="3">
      <c r="A3" s="10" t="n"/>
      <c r="B3" s="10" t="n"/>
      <c r="C3" s="10" t="n"/>
      <c r="D3" s="10" t="n"/>
      <c r="E3" s="10" t="n"/>
    </row>
    <row r="4">
      <c r="A4" s="10" t="inlineStr">
        <is>
          <t>Total de casos</t>
        </is>
      </c>
      <c r="B4" s="10">
        <f>COUNTA(Casos!A2:A423)</f>
        <v/>
      </c>
      <c r="C4" s="10" t="n"/>
      <c r="D4" s="10" t="n"/>
      <c r="E4" s="10" t="n"/>
    </row>
    <row r="5">
      <c r="A5" s="10" t="inlineStr">
        <is>
          <t>Pasó</t>
        </is>
      </c>
      <c r="B5" s="10">
        <f>COUNTIF(Casos!$H$2:$H$423,A5)</f>
        <v/>
      </c>
      <c r="C5" s="12">
        <f>IFERROR(B5/$B$4,0)</f>
        <v/>
      </c>
      <c r="D5" s="10" t="n"/>
      <c r="E5" s="10" t="n"/>
    </row>
    <row r="6">
      <c r="A6" s="10" t="inlineStr">
        <is>
          <t>No pasó</t>
        </is>
      </c>
      <c r="B6" s="10">
        <f>COUNTIF(Casos!$H$2:$H$423,A6)</f>
        <v/>
      </c>
      <c r="C6" s="12">
        <f>IFERROR(B6/$B$4,0)</f>
        <v/>
      </c>
      <c r="D6" s="10" t="n"/>
      <c r="E6" s="10" t="n"/>
    </row>
    <row r="7">
      <c r="A7" s="10" t="inlineStr">
        <is>
          <t>Bloqueado</t>
        </is>
      </c>
      <c r="B7" s="10">
        <f>COUNTIF(Casos!$H$2:$H$423,A7)</f>
        <v/>
      </c>
      <c r="C7" s="12">
        <f>IFERROR(B7/$B$4,0)</f>
        <v/>
      </c>
      <c r="D7" s="10" t="n"/>
      <c r="E7" s="10" t="n"/>
    </row>
    <row r="8">
      <c r="A8" s="10" t="inlineStr">
        <is>
          <t>No aplica</t>
        </is>
      </c>
      <c r="B8" s="10">
        <f>COUNTIF(Casos!$H$2:$H$423,A8)</f>
        <v/>
      </c>
      <c r="C8" s="12">
        <f>IFERROR(B8/$B$4,0)</f>
        <v/>
      </c>
      <c r="D8" s="10" t="n"/>
      <c r="E8" s="10" t="n"/>
    </row>
    <row r="9">
      <c r="A9" s="10" t="inlineStr">
        <is>
          <t>Sin ejecutar</t>
        </is>
      </c>
      <c r="B9" s="10">
        <f>$B$4-SUM(B5:B8)</f>
        <v/>
      </c>
      <c r="C9" s="12">
        <f>IFERROR(B9/$B$4,0)</f>
        <v/>
      </c>
      <c r="D9" s="10" t="n"/>
      <c r="E9" s="10" t="n"/>
    </row>
    <row r="10">
      <c r="A10" s="10" t="n"/>
      <c r="B10" s="10" t="n"/>
      <c r="C10" s="10" t="n"/>
      <c r="D10" s="10" t="n"/>
      <c r="E10" s="10" t="n"/>
    </row>
    <row r="11">
      <c r="A11" s="13" t="inlineStr">
        <is>
          <t>Por prioridad</t>
        </is>
      </c>
      <c r="B11" s="10" t="n"/>
      <c r="C11" s="14" t="inlineStr">
        <is>
          <t>Con fallo</t>
        </is>
      </c>
      <c r="D11" s="10" t="n"/>
      <c r="E11" s="10" t="n"/>
    </row>
    <row r="12">
      <c r="A12" s="10" t="inlineStr">
        <is>
          <t>Alta</t>
        </is>
      </c>
      <c r="B12" s="10">
        <f>COUNTIF(Casos!$C$2:$C$423,A12)</f>
        <v/>
      </c>
      <c r="C12" s="10">
        <f>COUNTIFS(Casos!$C$2:$C$423,A12,Casos!$H$2:$H$423,"No pasó")</f>
        <v/>
      </c>
      <c r="D12" s="10" t="n"/>
      <c r="E12" s="10" t="n"/>
    </row>
    <row r="13">
      <c r="A13" s="10" t="inlineStr">
        <is>
          <t>Media</t>
        </is>
      </c>
      <c r="B13" s="10">
        <f>COUNTIF(Casos!$C$2:$C$423,A13)</f>
        <v/>
      </c>
      <c r="C13" s="10">
        <f>COUNTIFS(Casos!$C$2:$C$423,A13,Casos!$H$2:$H$423,"No pasó")</f>
        <v/>
      </c>
      <c r="D13" s="10" t="n"/>
      <c r="E13" s="10" t="n"/>
    </row>
    <row r="14">
      <c r="A14" s="10" t="inlineStr">
        <is>
          <t>Baja</t>
        </is>
      </c>
      <c r="B14" s="10">
        <f>COUNTIF(Casos!$C$2:$C$423,A14)</f>
        <v/>
      </c>
      <c r="C14" s="10">
        <f>COUNTIFS(Casos!$C$2:$C$423,A14,Casos!$H$2:$H$423,"No pasó")</f>
        <v/>
      </c>
      <c r="D14" s="10" t="n"/>
      <c r="E14" s="10" t="n"/>
    </row>
    <row r="15">
      <c r="A15" s="10" t="n"/>
      <c r="B15" s="10" t="n"/>
      <c r="C15" s="10" t="n"/>
      <c r="D15" s="10" t="n"/>
      <c r="E15" s="10" t="n"/>
    </row>
    <row r="16">
      <c r="A16" s="13" t="inlineStr">
        <is>
          <t>Por módulo</t>
        </is>
      </c>
      <c r="B16" s="10" t="n"/>
      <c r="C16" s="10" t="n"/>
      <c r="D16" s="10" t="n"/>
      <c r="E16" s="10" t="n"/>
    </row>
    <row r="17">
      <c r="A17" s="15" t="inlineStr">
        <is>
          <t>Módulo</t>
        </is>
      </c>
      <c r="B17" s="15" t="inlineStr">
        <is>
          <t>Casos</t>
        </is>
      </c>
      <c r="C17" s="15" t="inlineStr">
        <is>
          <t>Pasó</t>
        </is>
      </c>
      <c r="D17" s="15" t="inlineStr">
        <is>
          <t>No pasó</t>
        </is>
      </c>
      <c r="E17" s="15" t="inlineStr">
        <is>
          <t>Sin ejecutar</t>
        </is>
      </c>
    </row>
    <row r="18">
      <c r="A18" s="10" t="inlineStr">
        <is>
          <t>Seguridad / Autenticación</t>
        </is>
      </c>
      <c r="B18" s="10">
        <f>COUNTIF(Casos!$B$2:$B$423,$A18)</f>
        <v/>
      </c>
      <c r="C18" s="10">
        <f>COUNTIFS(Casos!$B$2:$B$423,$A18,Casos!$H$2:$H$423,"Pasó")</f>
        <v/>
      </c>
      <c r="D18" s="10">
        <f>COUNTIFS(Casos!$B$2:$B$423,$A18,Casos!$H$2:$H$423,"No pasó")</f>
        <v/>
      </c>
      <c r="E18" s="10">
        <f>B18-COUNTIFS(Casos!$B$2:$B$423,$A18,Casos!$H$2:$H$423,"&lt;&gt;")</f>
        <v/>
      </c>
    </row>
    <row r="19">
      <c r="A19" s="10" t="inlineStr">
        <is>
          <t>Auditoría (admin)</t>
        </is>
      </c>
      <c r="B19" s="10">
        <f>COUNTIF(Casos!$B$2:$B$423,$A19)</f>
        <v/>
      </c>
      <c r="C19" s="10">
        <f>COUNTIFS(Casos!$B$2:$B$423,$A19,Casos!$H$2:$H$423,"Pasó")</f>
        <v/>
      </c>
      <c r="D19" s="10">
        <f>COUNTIFS(Casos!$B$2:$B$423,$A19,Casos!$H$2:$H$423,"No pasó")</f>
        <v/>
      </c>
      <c r="E19" s="10">
        <f>B19-COUNTIFS(Casos!$B$2:$B$423,$A19,Casos!$H$2:$H$423,"&lt;&gt;")</f>
        <v/>
      </c>
    </row>
    <row r="20">
      <c r="A20" s="10" t="inlineStr">
        <is>
          <t>Panel admin</t>
        </is>
      </c>
      <c r="B20" s="10">
        <f>COUNTIF(Casos!$B$2:$B$423,$A20)</f>
        <v/>
      </c>
      <c r="C20" s="10">
        <f>COUNTIFS(Casos!$B$2:$B$423,$A20,Casos!$H$2:$H$423,"Pasó")</f>
        <v/>
      </c>
      <c r="D20" s="10">
        <f>COUNTIFS(Casos!$B$2:$B$423,$A20,Casos!$H$2:$H$423,"No pasó")</f>
        <v/>
      </c>
      <c r="E20" s="10">
        <f>B20-COUNTIFS(Casos!$B$2:$B$423,$A20,Casos!$H$2:$H$423,"&lt;&gt;")</f>
        <v/>
      </c>
    </row>
    <row r="21">
      <c r="A21" s="10" t="inlineStr">
        <is>
          <t>Portal cliente — Plantillas y Campañas</t>
        </is>
      </c>
      <c r="B21" s="10">
        <f>COUNTIF(Casos!$B$2:$B$423,$A21)</f>
        <v/>
      </c>
      <c r="C21" s="10">
        <f>COUNTIFS(Casos!$B$2:$B$423,$A21,Casos!$H$2:$H$423,"Pasó")</f>
        <v/>
      </c>
      <c r="D21" s="10">
        <f>COUNTIFS(Casos!$B$2:$B$423,$A21,Casos!$H$2:$H$423,"No pasó")</f>
        <v/>
      </c>
      <c r="E21" s="10">
        <f>B21-COUNTIFS(Casos!$B$2:$B$423,$A21,Casos!$H$2:$H$423,"&lt;&gt;")</f>
        <v/>
      </c>
    </row>
    <row r="22">
      <c r="A22" s="10" t="inlineStr">
        <is>
          <t>Portal cliente — Bases de datos (CSV + Excel)</t>
        </is>
      </c>
      <c r="B22" s="10">
        <f>COUNTIF(Casos!$B$2:$B$423,$A22)</f>
        <v/>
      </c>
      <c r="C22" s="10">
        <f>COUNTIFS(Casos!$B$2:$B$423,$A22,Casos!$H$2:$H$423,"Pasó")</f>
        <v/>
      </c>
      <c r="D22" s="10">
        <f>COUNTIFS(Casos!$B$2:$B$423,$A22,Casos!$H$2:$H$423,"No pasó")</f>
        <v/>
      </c>
      <c r="E22" s="10">
        <f>B22-COUNTIFS(Casos!$B$2:$B$423,$A22,Casos!$H$2:$H$423,"&lt;&gt;")</f>
        <v/>
      </c>
    </row>
    <row r="23">
      <c r="A23" s="10" t="inlineStr">
        <is>
          <t>Portal cliente — Muestras, Envío real, Reportes, Estadísticas</t>
        </is>
      </c>
      <c r="B23" s="10">
        <f>COUNTIF(Casos!$B$2:$B$423,$A23)</f>
        <v/>
      </c>
      <c r="C23" s="10">
        <f>COUNTIFS(Casos!$B$2:$B$423,$A23,Casos!$H$2:$H$423,"Pasó")</f>
        <v/>
      </c>
      <c r="D23" s="10">
        <f>COUNTIFS(Casos!$B$2:$B$423,$A23,Casos!$H$2:$H$423,"No pasó")</f>
        <v/>
      </c>
      <c r="E23" s="10">
        <f>B23-COUNTIFS(Casos!$B$2:$B$423,$A23,Casos!$H$2:$H$423,"&lt;&gt;")</f>
        <v/>
      </c>
    </row>
    <row r="24">
      <c r="A24" s="10" t="inlineStr">
        <is>
          <t>Envíos multicanal + estados de entrega</t>
        </is>
      </c>
      <c r="B24" s="10">
        <f>COUNTIF(Casos!$B$2:$B$423,$A24)</f>
        <v/>
      </c>
      <c r="C24" s="10">
        <f>COUNTIFS(Casos!$B$2:$B$423,$A24,Casos!$H$2:$H$423,"Pasó")</f>
        <v/>
      </c>
      <c r="D24" s="10">
        <f>COUNTIFS(Casos!$B$2:$B$423,$A24,Casos!$H$2:$H$423,"No pasó")</f>
        <v/>
      </c>
      <c r="E24" s="10">
        <f>B24-COUNTIFS(Casos!$B$2:$B$423,$A24,Casos!$H$2:$H$423,"&lt;&gt;")</f>
        <v/>
      </c>
    </row>
    <row r="25">
      <c r="A25" s="10" t="inlineStr">
        <is>
          <t>Trabajos — Reintentar / Reencolar</t>
        </is>
      </c>
      <c r="B25" s="10">
        <f>COUNTIF(Casos!$B$2:$B$423,$A25)</f>
        <v/>
      </c>
      <c r="C25" s="10">
        <f>COUNTIFS(Casos!$B$2:$B$423,$A25,Casos!$H$2:$H$423,"Pasó")</f>
        <v/>
      </c>
      <c r="D25" s="10">
        <f>COUNTIFS(Casos!$B$2:$B$423,$A25,Casos!$H$2:$H$423,"No pasó")</f>
        <v/>
      </c>
      <c r="E25" s="10">
        <f>B25-COUNTIFS(Casos!$B$2:$B$423,$A25,Casos!$H$2:$H$423,"&lt;&gt;")</f>
        <v/>
      </c>
    </row>
    <row r="26">
      <c r="A26" s="10" t="inlineStr">
        <is>
          <t>Rendimiento / escalabilidad (verificación técnica)</t>
        </is>
      </c>
      <c r="B26" s="10">
        <f>COUNTIF(Casos!$B$2:$B$423,$A26)</f>
        <v/>
      </c>
      <c r="C26" s="10">
        <f>COUNTIFS(Casos!$B$2:$B$423,$A26,Casos!$H$2:$H$423,"Pasó")</f>
        <v/>
      </c>
      <c r="D26" s="10">
        <f>COUNTIFS(Casos!$B$2:$B$423,$A26,Casos!$H$2:$H$423,"No pasó")</f>
        <v/>
      </c>
      <c r="E26" s="10">
        <f>B26-COUNTIFS(Casos!$B$2:$B$423,$A26,Casos!$H$2:$H$423,"&lt;&gt;")</f>
        <v/>
      </c>
    </row>
    <row r="27">
      <c r="A27" s="10" t="inlineStr">
        <is>
          <t>Portal de pagos — Prepago (implementado; ver la sección Prepago en CLAUDE.md)</t>
        </is>
      </c>
      <c r="B27" s="10">
        <f>COUNTIF(Casos!$B$2:$B$423,$A27)</f>
        <v/>
      </c>
      <c r="C27" s="10">
        <f>COUNTIFS(Casos!$B$2:$B$423,$A27,Casos!$H$2:$H$423,"Pasó")</f>
        <v/>
      </c>
      <c r="D27" s="10">
        <f>COUNTIFS(Casos!$B$2:$B$423,$A27,Casos!$H$2:$H$423,"No pasó")</f>
        <v/>
      </c>
      <c r="E27" s="10">
        <f>B27-COUNTIFS(Casos!$B$2:$B$423,$A27,Casos!$H$2:$H$423,"&lt;&gt;")</f>
        <v/>
      </c>
    </row>
    <row r="28">
      <c r="A28" s="10" t="inlineStr">
        <is>
          <t>Constructor de correos HTML</t>
        </is>
      </c>
      <c r="B28" s="10">
        <f>COUNTIF(Casos!$B$2:$B$423,$A28)</f>
        <v/>
      </c>
      <c r="C28" s="10">
        <f>COUNTIFS(Casos!$B$2:$B$423,$A28,Casos!$H$2:$H$423,"Pasó")</f>
        <v/>
      </c>
      <c r="D28" s="10">
        <f>COUNTIFS(Casos!$B$2:$B$423,$A28,Casos!$H$2:$H$423,"No pasó")</f>
        <v/>
      </c>
      <c r="E28" s="10">
        <f>B28-COUNTIFS(Casos!$B$2:$B$423,$A28,Casos!$H$2:$H$423,"&lt;&gt;")</f>
        <v/>
      </c>
    </row>
    <row r="29">
      <c r="A29" s="10" t="inlineStr">
        <is>
          <t>Plantillas PDF (básicas · Estudio · Diseñador)</t>
        </is>
      </c>
      <c r="B29" s="10">
        <f>COUNTIF(Casos!$B$2:$B$423,$A29)</f>
        <v/>
      </c>
      <c r="C29" s="10">
        <f>COUNTIFS(Casos!$B$2:$B$423,$A29,Casos!$H$2:$H$423,"Pasó")</f>
        <v/>
      </c>
      <c r="D29" s="10">
        <f>COUNTIFS(Casos!$B$2:$B$423,$A29,Casos!$H$2:$H$423,"No pasó")</f>
        <v/>
      </c>
      <c r="E29" s="10">
        <f>B29-COUNTIFS(Casos!$B$2:$B$423,$A29,Casos!$H$2:$H$423,"&lt;&gt;")</f>
        <v/>
      </c>
    </row>
    <row r="30">
      <c r="A30" s="10" t="inlineStr">
        <is>
          <t>Aprobaciones (maker-checker) y programación de envíos</t>
        </is>
      </c>
      <c r="B30" s="10">
        <f>COUNTIF(Casos!$B$2:$B$423,$A30)</f>
        <v/>
      </c>
      <c r="C30" s="10">
        <f>COUNTIFS(Casos!$B$2:$B$423,$A30,Casos!$H$2:$H$423,"Pasó")</f>
        <v/>
      </c>
      <c r="D30" s="10">
        <f>COUNTIFS(Casos!$B$2:$B$423,$A30,Casos!$H$2:$H$423,"No pasó")</f>
        <v/>
      </c>
      <c r="E30" s="10">
        <f>B30-COUNTIFS(Casos!$B$2:$B$423,$A30,Casos!$H$2:$H$423,"&lt;&gt;")</f>
        <v/>
      </c>
    </row>
    <row r="31">
      <c r="A31" s="10" t="inlineStr">
        <is>
          <t>Equipo del cliente y roles</t>
        </is>
      </c>
      <c r="B31" s="10">
        <f>COUNTIF(Casos!$B$2:$B$423,$A31)</f>
        <v/>
      </c>
      <c r="C31" s="10">
        <f>COUNTIFS(Casos!$B$2:$B$423,$A31,Casos!$H$2:$H$423,"Pasó")</f>
        <v/>
      </c>
      <c r="D31" s="10">
        <f>COUNTIFS(Casos!$B$2:$B$423,$A31,Casos!$H$2:$H$423,"No pasó")</f>
        <v/>
      </c>
      <c r="E31" s="10">
        <f>B31-COUNTIFS(Casos!$B$2:$B$423,$A31,Casos!$H$2:$H$423,"&lt;&gt;")</f>
        <v/>
      </c>
    </row>
    <row r="32">
      <c r="A32" s="10" t="inlineStr">
        <is>
          <t>Dominios y correos remitentes</t>
        </is>
      </c>
      <c r="B32" s="10">
        <f>COUNTIF(Casos!$B$2:$B$423,$A32)</f>
        <v/>
      </c>
      <c r="C32" s="10">
        <f>COUNTIFS(Casos!$B$2:$B$423,$A32,Casos!$H$2:$H$423,"Pasó")</f>
        <v/>
      </c>
      <c r="D32" s="10">
        <f>COUNTIFS(Casos!$B$2:$B$423,$A32,Casos!$H$2:$H$423,"No pasó")</f>
        <v/>
      </c>
      <c r="E32" s="10">
        <f>B32-COUNTIFS(Casos!$B$2:$B$423,$A32,Casos!$H$2:$H$423,"&lt;&gt;")</f>
        <v/>
      </c>
    </row>
    <row r="33">
      <c r="A33" s="10" t="inlineStr">
        <is>
          <t>Seguridad avanzada (2FA · bloqueo · revocación)</t>
        </is>
      </c>
      <c r="B33" s="10">
        <f>COUNTIF(Casos!$B$2:$B$423,$A33)</f>
        <v/>
      </c>
      <c r="C33" s="10">
        <f>COUNTIFS(Casos!$B$2:$B$423,$A33,Casos!$H$2:$H$423,"Pasó")</f>
        <v/>
      </c>
      <c r="D33" s="10">
        <f>COUNTIFS(Casos!$B$2:$B$423,$A33,Casos!$H$2:$H$423,"No pasó")</f>
        <v/>
      </c>
      <c r="E33" s="10">
        <f>B33-COUNTIFS(Casos!$B$2:$B$423,$A33,Casos!$H$2:$H$423,"&lt;&gt;")</f>
        <v/>
      </c>
    </row>
    <row r="34">
      <c r="A34" s="10" t="inlineStr">
        <is>
          <t>Admin — Centro de mando, salud, soporte e impersonación</t>
        </is>
      </c>
      <c r="B34" s="10">
        <f>COUNTIF(Casos!$B$2:$B$423,$A34)</f>
        <v/>
      </c>
      <c r="C34" s="10">
        <f>COUNTIFS(Casos!$B$2:$B$423,$A34,Casos!$H$2:$H$423,"Pasó")</f>
        <v/>
      </c>
      <c r="D34" s="10">
        <f>COUNTIFS(Casos!$B$2:$B$423,$A34,Casos!$H$2:$H$423,"No pasó")</f>
        <v/>
      </c>
      <c r="E34" s="10">
        <f>B34-COUNTIFS(Casos!$B$2:$B$423,$A34,Casos!$H$2:$H$423,"&lt;&gt;")</f>
        <v/>
      </c>
    </row>
    <row r="35">
      <c r="A35" s="10" t="inlineStr">
        <is>
          <t>Configuración de plataforma y por cliente</t>
        </is>
      </c>
      <c r="B35" s="10">
        <f>COUNTIF(Casos!$B$2:$B$423,$A35)</f>
        <v/>
      </c>
      <c r="C35" s="10">
        <f>COUNTIFS(Casos!$B$2:$B$423,$A35,Casos!$H$2:$H$423,"Pasó")</f>
        <v/>
      </c>
      <c r="D35" s="10">
        <f>COUNTIFS(Casos!$B$2:$B$423,$A35,Casos!$H$2:$H$423,"No pasó")</f>
        <v/>
      </c>
      <c r="E35" s="10">
        <f>B35-COUNTIFS(Casos!$B$2:$B$423,$A35,Casos!$H$2:$H$423,"&lt;&gt;")</f>
        <v/>
      </c>
    </row>
    <row r="36">
      <c r="A36" s="10" t="inlineStr">
        <is>
          <t>Notificaciones y preferencias del suscriptor</t>
        </is>
      </c>
      <c r="B36" s="10">
        <f>COUNTIF(Casos!$B$2:$B$423,$A36)</f>
        <v/>
      </c>
      <c r="C36" s="10">
        <f>COUNTIFS(Casos!$B$2:$B$423,$A36,Casos!$H$2:$H$423,"Pasó")</f>
        <v/>
      </c>
      <c r="D36" s="10">
        <f>COUNTIFS(Casos!$B$2:$B$423,$A36,Casos!$H$2:$H$423,"No pasó")</f>
        <v/>
      </c>
      <c r="E36" s="10">
        <f>B36-COUNTIFS(Casos!$B$2:$B$423,$A36,Casos!$H$2:$H$423,"&lt;&gt;")</f>
        <v/>
      </c>
    </row>
    <row r="37">
      <c r="A37" s="10" t="inlineStr">
        <is>
          <t>Higiene, límites de uso y costo del adjunto</t>
        </is>
      </c>
      <c r="B37" s="10">
        <f>COUNTIF(Casos!$B$2:$B$423,$A37)</f>
        <v/>
      </c>
      <c r="C37" s="10">
        <f>COUNTIFS(Casos!$B$2:$B$423,$A37,Casos!$H$2:$H$423,"Pasó")</f>
        <v/>
      </c>
      <c r="D37" s="10">
        <f>COUNTIFS(Casos!$B$2:$B$423,$A37,Casos!$H$2:$H$423,"No pasó")</f>
        <v/>
      </c>
      <c r="E37" s="10">
        <f>B37-COUNTIFS(Casos!$B$2:$B$423,$A37,Casos!$H$2:$H$423,"&lt;&gt;")</f>
        <v/>
      </c>
    </row>
    <row r="38">
      <c r="A38" s="10" t="inlineStr">
        <is>
          <t>Cascada omnicanal y series</t>
        </is>
      </c>
      <c r="B38" s="10">
        <f>COUNTIF(Casos!$B$2:$B$423,$A38)</f>
        <v/>
      </c>
      <c r="C38" s="10">
        <f>COUNTIFS(Casos!$B$2:$B$423,$A38,Casos!$H$2:$H$423,"Pasó")</f>
        <v/>
      </c>
      <c r="D38" s="10">
        <f>COUNTIFS(Casos!$B$2:$B$423,$A38,Casos!$H$2:$H$423,"No pasó")</f>
        <v/>
      </c>
      <c r="E38" s="10">
        <f>B38-COUNTIFS(Casos!$B$2:$B$423,$A38,Casos!$H$2:$H$423,"&lt;&gt;")</f>
        <v/>
      </c>
    </row>
    <row r="39">
      <c r="A39" s="10" t="inlineStr">
        <is>
          <t>Regresión / transversales</t>
        </is>
      </c>
      <c r="B39" s="10">
        <f>COUNTIF(Casos!$B$2:$B$423,$A39)</f>
        <v/>
      </c>
      <c r="C39" s="10">
        <f>COUNTIFS(Casos!$B$2:$B$423,$A39,Casos!$H$2:$H$423,"Pasó")</f>
        <v/>
      </c>
      <c r="D39" s="10">
        <f>COUNTIFS(Casos!$B$2:$B$423,$A39,Casos!$H$2:$H$423,"No pasó")</f>
        <v/>
      </c>
      <c r="E39" s="10">
        <f>B39-COUNTIFS(Casos!$B$2:$B$423,$A39,Casos!$H$2:$H$423,"&lt;&gt;")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C3FF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3" t="inlineStr">
        <is>
          <t>Cómo usar esta planilla</t>
        </is>
      </c>
    </row>
    <row r="2">
      <c r="A2" s="16" t="inlineStr"/>
    </row>
    <row r="3">
      <c r="A3" s="16" t="inlineStr">
        <is>
          <t>1. Ejecuta los casos de la hoja "Casos" en orden o filtrando por módulo/prioridad.</t>
        </is>
      </c>
    </row>
    <row r="4">
      <c r="A4" s="16" t="inlineStr">
        <is>
          <t>2. Llena SOLO las columnas amarillas: Resultado obtenido, Estado, Observaciones,</t>
        </is>
      </c>
    </row>
    <row r="5">
      <c r="A5" s="16" t="inlineStr">
        <is>
          <t xml:space="preserve">   Probado por y Fecha. Las demás vienen del documento y no se editan aquí.</t>
        </is>
      </c>
    </row>
    <row r="6">
      <c r="A6" s="16" t="inlineStr">
        <is>
          <t>3. "Estado" es un desplegable: Pasó / No pasó / Bloqueado / No aplica.</t>
        </is>
      </c>
    </row>
    <row r="7">
      <c r="A7" s="16" t="inlineStr">
        <is>
          <t xml:space="preserve">   Usa "Bloqueado" cuando el caso no se pudo ejecutar por una dependencia</t>
        </is>
      </c>
    </row>
    <row r="8">
      <c r="A8" s="16" t="inlineStr">
        <is>
          <t xml:space="preserve">   (por ejemplo, un endpoint que todavía no está desplegado — ver DESPLIEGUE.md).</t>
        </is>
      </c>
    </row>
    <row r="9">
      <c r="A9" s="16" t="inlineStr">
        <is>
          <t>4. La hoja "Resumen" se calcula sola a partir de la columna Estado. Si al abrir</t>
        </is>
      </c>
    </row>
    <row r="10">
      <c r="A10" s="16" t="inlineStr">
        <is>
          <t xml:space="preserve">   el archivo el resumen sale en blanco, pulsa F9 (recalcular): las fórmulas se</t>
        </is>
      </c>
    </row>
    <row r="11">
      <c r="A11" s="16" t="inlineStr">
        <is>
          <t xml:space="preserve">   escriben sin valores cacheados y Excel las evalúa al abrir.</t>
        </is>
      </c>
    </row>
    <row r="12">
      <c r="A12" s="16" t="inlineStr"/>
    </row>
    <row r="13">
      <c r="A13" s="13" t="inlineStr">
        <is>
          <t>Ojo: esta planilla se GENERA desde CASOS_PRUEBA_QA.md.</t>
        </is>
      </c>
    </row>
    <row r="14">
      <c r="A14" s="16" t="inlineStr">
        <is>
          <t>Si se agregan casos al documento y se vuelve a generar, lo que hayas escrito aquí</t>
        </is>
      </c>
    </row>
    <row r="15">
      <c r="A15" s="16" t="inlineStr">
        <is>
          <t>se pierde. Guarda una copia con la fecha antes de regenerar, o pásale los</t>
        </is>
      </c>
    </row>
    <row r="16">
      <c r="A16" s="16" t="inlineStr">
        <is>
          <t>resultados a quien la regenere.</t>
        </is>
      </c>
    </row>
    <row r="17">
      <c r="A17" s="16" t="inlineStr"/>
    </row>
    <row r="18">
      <c r="A18" s="16" t="inlineStr">
        <is>
          <t>Prioridades: Alta = crítico (bloquea salida a producción) · Media · Baja.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2026-07-29T16:37:46Z</dcterms:created>
  <dcterms:modified xsi:type="dcterms:W3CDTF">2026-07-29T16:37:46Z</dcterms:modified>
</cp:coreProperties>
</file>