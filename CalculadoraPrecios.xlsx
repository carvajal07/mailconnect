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Supuestos" sheetId="2" state="visible" r:id="rId2"/>
    <sheet name="EM" sheetId="3" state="visible" r:id="rId3"/>
    <sheet name="EAU" sheetId="4" state="visible" r:id="rId4"/>
    <sheet name="EAP" sheetId="5" state="visible" r:id="rId5"/>
    <sheet name="SMS" sheetId="6" state="visible" r:id="rId6"/>
    <sheet name="WhatsApp" sheetId="7" state="visible" r:id="rId7"/>
    <sheet name="Voz" sheetId="8" state="visible" r:id="rId8"/>
    <sheet name="Cotizador" sheetId="9" state="visible" r:id="rId9"/>
    <sheet name="Adjunto URL vs archivo" sheetId="10" state="visible" r:id="rId10"/>
    <sheet name="Resume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US$&quot;0.00000000"/>
    <numFmt numFmtId="167" formatCode="&quot;$&quot;#,##0.0000"/>
  </numFmts>
  <fonts count="8">
    <font>
      <name val="Calibri"/>
      <family val="2"/>
      <color theme="1"/>
      <sz val="11"/>
      <scheme val="minor"/>
    </font>
    <font>
      <name val="Arial"/>
      <b val="1"/>
      <color rgb="0016233F"/>
      <sz val="13"/>
    </font>
    <font>
      <name val="Arial"/>
      <i val="1"/>
      <color rgb="00808080"/>
      <sz val="8"/>
    </font>
    <font>
      <name val="Arial"/>
      <b val="1"/>
      <color rgb="000075BE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E8F1F8"/>
      </patternFill>
    </fill>
    <fill>
      <patternFill patternType="solid">
        <fgColor rgb="00FFF2CC"/>
      </patternFill>
    </fill>
    <fill>
      <patternFill patternType="solid">
        <fgColor rgb="0016233F"/>
      </patternFill>
    </fill>
    <fill>
      <patternFill patternType="solid">
        <fgColor rgb="00EAF7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64" fontId="5" fillId="3" borderId="0" pivotButton="0" quotePrefix="0" xfId="0"/>
    <xf numFmtId="165" fontId="5" fillId="3" borderId="0" pivotButton="0" quotePrefix="0" xfId="0"/>
    <xf numFmtId="164" fontId="4" fillId="0" borderId="0" pivotButton="0" quotePrefix="0" xfId="0"/>
    <xf numFmtId="166" fontId="5" fillId="0" borderId="0" pivotButton="0" quotePrefix="0" xfId="0"/>
    <xf numFmtId="166" fontId="5" fillId="3" borderId="0" pivotButton="0" quotePrefix="0" xfId="0"/>
    <xf numFmtId="3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164" fontId="5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3" fontId="4" fillId="0" borderId="1" pivotButton="0" quotePrefix="0" xfId="0"/>
    <xf numFmtId="167" fontId="7" fillId="0" borderId="1" pivotButton="0" quotePrefix="0" xfId="0"/>
    <xf numFmtId="167" fontId="4" fillId="0" borderId="1" pivotButton="0" quotePrefix="0" xfId="0"/>
    <xf numFmtId="164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3" borderId="0" pivotButton="0" quotePrefix="0" xfId="0"/>
    <xf numFmtId="165" fontId="4" fillId="0" borderId="0" pivotButton="0" quotePrefix="0" xfId="0"/>
    <xf numFmtId="164" fontId="4" fillId="5" borderId="0" pivotButton="0" quotePrefix="0" xfId="0"/>
    <xf numFmtId="3" fontId="5" fillId="3" borderId="0" pivotButton="0" quotePrefix="0" xfId="0"/>
    <xf numFmtId="165" fontId="5" fillId="0" borderId="1" pivotButton="0" quotePrefix="0" xfId="0"/>
    <xf numFmtId="164" fontId="7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1" t="inlineStr">
        <is>
          <t>Cómo usar esta calculadora</t>
        </is>
      </c>
    </row>
    <row r="2">
      <c r="A2" s="2" t="inlineStr"/>
      <c r="B2" s="3" t="inlineStr"/>
    </row>
    <row r="3">
      <c r="A3" s="4" t="inlineStr">
        <is>
          <t>Colores</t>
        </is>
      </c>
      <c r="B3" s="3" t="inlineStr"/>
    </row>
    <row r="4">
      <c r="A4" s="2" t="inlineStr">
        <is>
          <t xml:space="preserve">  Azul</t>
        </is>
      </c>
      <c r="B4" s="3" t="inlineStr">
        <is>
          <t>Entrada editable.</t>
        </is>
      </c>
    </row>
    <row r="5">
      <c r="A5" s="2" t="inlineStr">
        <is>
          <t xml:space="preserve">  Amarillo</t>
        </is>
      </c>
      <c r="B5" s="3" t="inlineStr">
        <is>
          <t>Entrada CRÍTICA (TRM, costos de proveedor, margen).</t>
        </is>
      </c>
    </row>
    <row r="6">
      <c r="A6" s="2" t="inlineStr">
        <is>
          <t xml:space="preserve">  Negro</t>
        </is>
      </c>
      <c r="B6" s="3" t="inlineStr">
        <is>
          <t>Fórmula — no tocar.</t>
        </is>
      </c>
    </row>
    <row r="7">
      <c r="A7" s="2" t="inlineStr">
        <is>
          <t xml:space="preserve">  Verde</t>
        </is>
      </c>
      <c r="B7" s="3" t="inlineStr">
        <is>
          <t>Trae un valor de 'Supuestos'.</t>
        </is>
      </c>
    </row>
    <row r="8">
      <c r="A8" s="2" t="inlineStr"/>
      <c r="B8" s="3" t="inlineStr"/>
    </row>
    <row r="9">
      <c r="A9" s="4" t="inlineStr">
        <is>
          <t>Idea central</t>
        </is>
      </c>
      <c r="B9" s="3" t="inlineStr"/>
    </row>
    <row r="10">
      <c r="A10" s="2" t="inlineStr">
        <is>
          <t xml:space="preserve">  Las tablas NO llevan fijos</t>
        </is>
      </c>
      <c r="B10" s="3" t="inlineStr">
        <is>
          <t>Solo el COSTO DE ENVÍO (variable). Así 'Margen' = ingreso − costo de envío (margen de contribución) y no confunde.</t>
        </is>
      </c>
    </row>
    <row r="11">
      <c r="A11" s="2" t="inlineStr">
        <is>
          <t xml:space="preserve">  ¿Gano por envío?</t>
        </is>
      </c>
      <c r="B11" s="3" t="inlineStr">
        <is>
          <t>Mirá 'Precio − Costo de envío'. Si es positivo, cada envío deja plata.</t>
        </is>
      </c>
    </row>
    <row r="12">
      <c r="A12" s="2" t="inlineStr">
        <is>
          <t xml:space="preserve">  Fijos</t>
        </is>
      </c>
      <c r="B12" s="3" t="inlineStr">
        <is>
          <t>Van aparte en 'Resumen'. Son bajos (~15.000/mes) → se cubren con poquísimo volumen.</t>
        </is>
      </c>
    </row>
    <row r="13">
      <c r="A13" s="2" t="inlineStr"/>
      <c r="B13" s="3" t="inlineStr"/>
    </row>
    <row r="14">
      <c r="A14" s="4" t="inlineStr">
        <is>
          <t>Hojas</t>
        </is>
      </c>
      <c r="B14" s="3" t="inlineStr"/>
    </row>
    <row r="15">
      <c r="A15" s="2" t="inlineStr">
        <is>
          <t xml:space="preserve">  Supuestos</t>
        </is>
      </c>
      <c r="B15" s="3" t="inlineStr">
        <is>
          <t>Costos AWS/Meta, TRM, margen, fijos, parámetros.</t>
        </is>
      </c>
    </row>
    <row r="16">
      <c r="A16" s="2" t="inlineStr">
        <is>
          <t xml:space="preserve">  EM/EAU/EAP/SMS/WhatsApp/Voz</t>
        </is>
      </c>
      <c r="B16" s="3" t="inlineStr">
        <is>
          <t>Costo de envío, precio y margen por volumen.</t>
        </is>
      </c>
    </row>
    <row r="17">
      <c r="A17" s="2" t="inlineStr">
        <is>
          <t xml:space="preserve">  Cotizador</t>
        </is>
      </c>
      <c r="B17" s="3" t="inlineStr">
        <is>
          <t>Cotización rápida por canal.</t>
        </is>
      </c>
    </row>
    <row r="18">
      <c r="A18" s="2" t="inlineStr">
        <is>
          <t xml:space="preserve">  Adjunto URL vs archivo</t>
        </is>
      </c>
      <c r="B18" s="3" t="inlineStr">
        <is>
          <t>Compara mandar el documento adjunto vs como enlace (S3).</t>
        </is>
      </c>
    </row>
    <row r="19">
      <c r="A19" s="2" t="inlineStr">
        <is>
          <t xml:space="preserve">  Resumen</t>
        </is>
      </c>
      <c r="B19" s="3" t="inlineStr">
        <is>
          <t>Fijos + punto de equilibrio por canal.</t>
        </is>
      </c>
    </row>
    <row r="20">
      <c r="A20" s="2" t="inlineStr"/>
      <c r="B20" s="3" t="inlineStr"/>
    </row>
    <row r="21">
      <c r="A21" s="4" t="inlineStr">
        <is>
          <t>A calibrar</t>
        </is>
      </c>
      <c r="B21" s="3" t="inlineStr"/>
    </row>
    <row r="22">
      <c r="A22" s="2" t="inlineStr">
        <is>
          <t xml:space="preserve">  SMS</t>
        </is>
      </c>
      <c r="B22" s="3" t="inlineStr">
        <is>
          <t>AWS no publica precio plano (varía por operador). El valor es referencia Twilio; confirmá con tu REPORTE DE USO de AWS o un proveedor LOCAL (mucho más barato).</t>
        </is>
      </c>
    </row>
    <row r="23">
      <c r="A23" s="2" t="inlineStr">
        <is>
          <t xml:space="preserve">  WhatsApp</t>
        </is>
      </c>
      <c r="B23" s="3" t="inlineStr">
        <is>
          <t>Es de META: marketing CO ~US$0.0125 (~51 COP).</t>
        </is>
      </c>
    </row>
    <row r="24">
      <c r="A24" s="2" t="inlineStr">
        <is>
          <t xml:space="preserve">  Voz</t>
        </is>
      </c>
      <c r="B24" s="3" t="inlineStr">
        <is>
          <t>~US$0.0301/min saliente CO; el número va en 'fijos'.</t>
        </is>
      </c>
    </row>
    <row r="25">
      <c r="A25" s="2" t="inlineStr">
        <is>
          <t xml:space="preserve">  Email (SES)</t>
        </is>
      </c>
      <c r="B25" s="3" t="inlineStr">
        <is>
          <t>US$0.10/1.000 correos y US$0.12/GB de adjunto.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233F"/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70" customWidth="1" min="4" max="4"/>
  </cols>
  <sheetData>
    <row r="1">
      <c r="A1" s="1" t="inlineStr">
        <is>
          <t>MailConnect — Supuestos de la calculadora de precios</t>
        </is>
      </c>
    </row>
    <row r="2">
      <c r="A2" s="3" t="inlineStr">
        <is>
          <t>Editá SOLO las celdas azules; las amarillas son las críticas. Fuentes en la columna D. Región AWS: us-east-1.</t>
        </is>
      </c>
    </row>
    <row r="4">
      <c r="A4" s="5" t="inlineStr">
        <is>
          <t>TASA DE CAMBIO</t>
        </is>
      </c>
      <c r="B4" s="6" t="n"/>
      <c r="C4" s="6" t="n"/>
      <c r="D4" s="6" t="n"/>
    </row>
    <row r="5">
      <c r="A5" s="2" t="inlineStr">
        <is>
          <t>TRM (COP por USD)</t>
        </is>
      </c>
      <c r="B5" s="7" t="n">
        <v>3532</v>
      </c>
      <c r="C5" s="3" t="inlineStr">
        <is>
          <t>COP/USD</t>
        </is>
      </c>
      <c r="D5" s="3" t="inlineStr">
        <is>
          <t>TRM del día (AWS/Meta facturan en USD)</t>
        </is>
      </c>
    </row>
    <row r="6">
      <c r="A6" s="2" t="inlineStr">
        <is>
          <t>Colchón de devaluación</t>
        </is>
      </c>
      <c r="B6" s="8" t="n">
        <v>0.08</v>
      </c>
      <c r="C6" s="3" t="inlineStr">
        <is>
          <t>%</t>
        </is>
      </c>
      <c r="D6" s="3" t="inlineStr">
        <is>
          <t>margen extra por si sube el dólar</t>
        </is>
      </c>
    </row>
    <row r="7">
      <c r="A7" s="2" t="inlineStr">
        <is>
          <t>TRM efectiva</t>
        </is>
      </c>
      <c r="B7" s="9">
        <f>B5*(1+B6)</f>
        <v/>
      </c>
      <c r="C7" s="3" t="inlineStr">
        <is>
          <t>COP/USD</t>
        </is>
      </c>
      <c r="D7" s="3" t="inlineStr">
        <is>
          <t>la que usa todo el modelo</t>
        </is>
      </c>
    </row>
    <row r="9">
      <c r="A9" s="5" t="inlineStr">
        <is>
          <t>COSTOS AWS (USD)</t>
        </is>
      </c>
      <c r="B9" s="6" t="n"/>
      <c r="C9" s="6" t="n"/>
      <c r="D9" s="6" t="n"/>
    </row>
    <row r="10">
      <c r="A10" s="2" t="inlineStr">
        <is>
          <t>SES — envío de 1 correo</t>
        </is>
      </c>
      <c r="B10" s="10" t="n">
        <v>0.0001</v>
      </c>
      <c r="C10" s="3" t="inlineStr">
        <is>
          <t>USD/correo</t>
        </is>
      </c>
      <c r="D10" s="3" t="inlineStr">
        <is>
          <t>AWS SES: US$0.10 por 1.000 correos</t>
        </is>
      </c>
    </row>
    <row r="11">
      <c r="A11" s="2" t="inlineStr">
        <is>
          <t>SES — datos de adjunto</t>
        </is>
      </c>
      <c r="B11" s="10" t="n">
        <v>0.000117</v>
      </c>
      <c r="C11" s="3" t="inlineStr">
        <is>
          <t>USD/MB</t>
        </is>
      </c>
      <c r="D11" s="3" t="inlineStr">
        <is>
          <t>AWS SES: US$0.12/GB ÷ 1024</t>
        </is>
      </c>
    </row>
    <row r="12">
      <c r="A12" s="2" t="inlineStr">
        <is>
          <t>SNS — 1 publicación</t>
        </is>
      </c>
      <c r="B12" s="10" t="n">
        <v>5e-07</v>
      </c>
      <c r="C12" s="3" t="inlineStr">
        <is>
          <t>USD/msg</t>
        </is>
      </c>
      <c r="D12" s="3" t="inlineStr">
        <is>
          <t>~US$0.50 por 1M</t>
        </is>
      </c>
    </row>
    <row r="13">
      <c r="A13" s="2" t="inlineStr">
        <is>
          <t>Lambda — 1 solicitud</t>
        </is>
      </c>
      <c r="B13" s="10" t="n">
        <v>2e-07</v>
      </c>
      <c r="C13" s="3" t="inlineStr">
        <is>
          <t>USD/req</t>
        </is>
      </c>
      <c r="D13" s="3" t="inlineStr">
        <is>
          <t>US$0.20 por 1M</t>
        </is>
      </c>
    </row>
    <row r="14">
      <c r="A14" s="2" t="inlineStr">
        <is>
          <t>Lambda — GB-segundo</t>
        </is>
      </c>
      <c r="B14" s="10" t="n">
        <v>1.667e-05</v>
      </c>
      <c r="C14" s="3" t="inlineStr">
        <is>
          <t>USD/GB-s</t>
        </is>
      </c>
      <c r="D14" s="3" t="inlineStr">
        <is>
          <t>memoria x duración</t>
        </is>
      </c>
    </row>
    <row r="15">
      <c r="A15" s="2" t="inlineStr">
        <is>
          <t>DynamoDB — 1 escritura</t>
        </is>
      </c>
      <c r="B15" s="10" t="n">
        <v>1.25e-06</v>
      </c>
      <c r="C15" s="3" t="inlineStr">
        <is>
          <t>USD/write</t>
        </is>
      </c>
      <c r="D15" s="3" t="inlineStr">
        <is>
          <t>US$1.25 por 1M (on-demand)</t>
        </is>
      </c>
    </row>
    <row r="16">
      <c r="A16" s="2" t="inlineStr">
        <is>
          <t>S3 — almacenamiento</t>
        </is>
      </c>
      <c r="B16" s="10" t="n">
        <v>0.023</v>
      </c>
      <c r="C16" s="3" t="inlineStr">
        <is>
          <t>USD/GB-mes</t>
        </is>
      </c>
      <c r="D16" s="3" t="inlineStr">
        <is>
          <t>guardar archivos</t>
        </is>
      </c>
    </row>
    <row r="17">
      <c r="A17" s="2" t="inlineStr">
        <is>
          <t>S3 — egreso (descargas)</t>
        </is>
      </c>
      <c r="B17" s="10" t="n">
        <v>0.09</v>
      </c>
      <c r="C17" s="3" t="inlineStr">
        <is>
          <t>USD/GB</t>
        </is>
      </c>
      <c r="D17" s="3" t="inlineStr">
        <is>
          <t>US$0.09/GB de salida a internet (para adjunto por URL)</t>
        </is>
      </c>
    </row>
    <row r="18">
      <c r="A18" s="2" t="inlineStr">
        <is>
          <t>SQS — 1 solicitud</t>
        </is>
      </c>
      <c r="B18" s="10" t="n">
        <v>4e-07</v>
      </c>
      <c r="C18" s="3" t="inlineStr">
        <is>
          <t>USD/req</t>
        </is>
      </c>
      <c r="D18" s="3" t="inlineStr">
        <is>
          <t>US$0.40 por 1M</t>
        </is>
      </c>
    </row>
    <row r="19">
      <c r="A19" s="2" t="inlineStr">
        <is>
          <t>CloudWatch Logs — 1 GB</t>
        </is>
      </c>
      <c r="B19" s="10" t="n">
        <v>0.5</v>
      </c>
      <c r="C19" s="3" t="inlineStr">
        <is>
          <t>USD/GB</t>
        </is>
      </c>
      <c r="D19" s="3" t="inlineStr">
        <is>
          <t>ingesta de logs</t>
        </is>
      </c>
    </row>
    <row r="21">
      <c r="A21" s="5" t="inlineStr">
        <is>
          <t>COSTOS DE PROVEEDOR (USD) — ¡calibrar con tu factura!</t>
        </is>
      </c>
      <c r="B21" s="6" t="n"/>
      <c r="C21" s="6" t="n"/>
      <c r="D21" s="6" t="n"/>
    </row>
    <row r="22">
      <c r="A22" s="2" t="inlineStr">
        <is>
          <t>SMS — 1 segmento a Colombia</t>
        </is>
      </c>
      <c r="B22" s="11" t="n">
        <v>0.0525</v>
      </c>
      <c r="C22" s="3" t="inlineStr">
        <is>
          <t>USD/segmento</t>
        </is>
      </c>
      <c r="D22" s="3" t="inlineStr">
        <is>
          <t>AWS NO publica precio plano (varía por operador; ver reporte de uso). Ref. Twilio CO US$0.0525; local/AWS suele ser MENOR — CONFIRMAR</t>
        </is>
      </c>
    </row>
    <row r="23">
      <c r="A23" s="2" t="inlineStr">
        <is>
          <t>WhatsApp — plantilla marketing a Colombia</t>
        </is>
      </c>
      <c r="B23" s="11" t="n">
        <v>0.0125</v>
      </c>
      <c r="C23" s="3" t="inlineStr">
        <is>
          <t>USD/msg</t>
        </is>
      </c>
      <c r="D23" s="3" t="inlineStr">
        <is>
          <t>META (no AWS): marketing CO ~US$0.0125 (~51 COP), por-mensaje desde jul-2025</t>
        </is>
      </c>
    </row>
    <row r="24">
      <c r="A24" s="2" t="inlineStr">
        <is>
          <t>Voz — 1 minuto saliente a Colombia</t>
        </is>
      </c>
      <c r="B24" s="11" t="n">
        <v>0.0301</v>
      </c>
      <c r="C24" s="3" t="inlineStr">
        <is>
          <t>USD/min</t>
        </is>
      </c>
      <c r="D24" s="3" t="inlineStr">
        <is>
          <t>~US$0.0301/min saliente CO (Amazon Connect/EUM); número aparte</t>
        </is>
      </c>
    </row>
    <row r="26">
      <c r="A26" s="5" t="inlineStr">
        <is>
          <t>PARÁMETROS DEL PIPELINE</t>
        </is>
      </c>
      <c r="B26" s="6" t="n"/>
      <c r="C26" s="6" t="n"/>
      <c r="D26" s="6" t="n"/>
    </row>
    <row r="27">
      <c r="A27" s="2" t="inlineStr">
        <is>
          <t>Estados SNS por correo</t>
        </is>
      </c>
      <c r="B27" s="12" t="n">
        <v>3</v>
      </c>
      <c r="C27" s="3" t="inlineStr">
        <is>
          <t>eventos</t>
        </is>
      </c>
      <c r="D27" s="3" t="inlineStr">
        <is>
          <t>el código escribe hasta 5</t>
        </is>
      </c>
    </row>
    <row r="28">
      <c r="A28" s="2" t="inlineStr">
        <is>
          <t>Tamaño de parte (troceo)</t>
        </is>
      </c>
      <c r="B28" s="12" t="n">
        <v>250</v>
      </c>
      <c r="C28" s="3" t="inlineStr">
        <is>
          <t>reg/parte</t>
        </is>
      </c>
      <c r="D28" s="3" t="inlineStr">
        <is>
          <t>REGISTERS_FOR_EM</t>
        </is>
      </c>
    </row>
    <row r="29">
      <c r="A29" s="2" t="inlineStr">
        <is>
          <t>Escrituras DynamoDB por correo</t>
        </is>
      </c>
      <c r="B29" s="12" t="n">
        <v>5</v>
      </c>
      <c r="C29" s="3" t="inlineStr">
        <is>
          <t>writes</t>
        </is>
      </c>
      <c r="D29" s="3" t="inlineStr">
        <is>
          <t>sendStatus+sendDetail+estados</t>
        </is>
      </c>
    </row>
    <row r="30">
      <c r="A30" s="2" t="inlineStr">
        <is>
          <t>Escrituras DynamoDB por SMS/WSP/Voz</t>
        </is>
      </c>
      <c r="B30" s="12" t="n">
        <v>3</v>
      </c>
      <c r="C30" s="3" t="inlineStr">
        <is>
          <t>writes</t>
        </is>
      </c>
      <c r="D30" s="3" t="inlineStr">
        <is>
          <t>sendStatus+messageIndex+estado</t>
        </is>
      </c>
    </row>
    <row r="31">
      <c r="A31" s="2" t="inlineStr">
        <is>
          <t>Segundos de Lambda por mensaje</t>
        </is>
      </c>
      <c r="B31" s="13" t="n">
        <v>0.05</v>
      </c>
      <c r="C31" s="3" t="inlineStr">
        <is>
          <t>s/msg</t>
        </is>
      </c>
      <c r="D31" s="3" t="inlineStr">
        <is>
          <t>prepare+send amortizado</t>
        </is>
      </c>
    </row>
    <row r="32">
      <c r="A32" s="2" t="inlineStr">
        <is>
          <t>Memoria Lambda</t>
        </is>
      </c>
      <c r="B32" s="13" t="n">
        <v>0.5</v>
      </c>
      <c r="C32" s="3" t="inlineStr">
        <is>
          <t>GB</t>
        </is>
      </c>
      <c r="D32" s="3" t="inlineStr">
        <is>
          <t>costo por GB-segundo</t>
        </is>
      </c>
    </row>
    <row r="33">
      <c r="A33" s="2" t="inlineStr">
        <is>
          <t>GB de logs por 1.000 mensajes</t>
        </is>
      </c>
      <c r="B33" s="13" t="n">
        <v>0.002</v>
      </c>
      <c r="C33" s="3" t="inlineStr">
        <is>
          <t>GB/1000</t>
        </is>
      </c>
      <c r="D33" s="3" t="inlineStr">
        <is>
          <t>prints del pipeline</t>
        </is>
      </c>
    </row>
    <row r="34">
      <c r="A34" s="2" t="inlineStr">
        <is>
          <t>MB de adjunto — EAU</t>
        </is>
      </c>
      <c r="B34" s="12" t="n">
        <v>1</v>
      </c>
      <c r="C34" s="3" t="inlineStr">
        <is>
          <t>MB</t>
        </is>
      </c>
      <c r="D34" s="3" t="inlineStr">
        <is>
          <t>adjunto único</t>
        </is>
      </c>
    </row>
    <row r="35">
      <c r="A35" s="2" t="inlineStr">
        <is>
          <t>MB de adjunto — EAP</t>
        </is>
      </c>
      <c r="B35" s="12" t="n">
        <v>2</v>
      </c>
      <c r="C35" s="3" t="inlineStr">
        <is>
          <t>MB</t>
        </is>
      </c>
      <c r="D35" s="3" t="inlineStr">
        <is>
          <t>adjunto personalizado</t>
        </is>
      </c>
    </row>
    <row r="36">
      <c r="A36" s="2" t="inlineStr">
        <is>
          <t>Segmentos por SMS (base)</t>
        </is>
      </c>
      <c r="B36" s="12" t="n">
        <v>1</v>
      </c>
      <c r="C36" s="3" t="inlineStr">
        <is>
          <t>segmentos</t>
        </is>
      </c>
      <c r="D36" s="3" t="inlineStr">
        <is>
          <t>para las tablas</t>
        </is>
      </c>
    </row>
    <row r="37">
      <c r="A37" s="2" t="inlineStr">
        <is>
          <t>% que descarga el adjunto (URL)</t>
        </is>
      </c>
      <c r="B37" s="8" t="n">
        <v>0.3</v>
      </c>
      <c r="C37" s="3" t="inlineStr">
        <is>
          <t>%</t>
        </is>
      </c>
      <c r="D37" s="3" t="inlineStr">
        <is>
          <t>cuántos hacen clic en el enlace (para 'Adjunto URL vs archivo')</t>
        </is>
      </c>
    </row>
    <row r="39">
      <c r="A39" s="5" t="inlineStr">
        <is>
          <t>NEGOCIO</t>
        </is>
      </c>
      <c r="B39" s="6" t="n"/>
      <c r="C39" s="6" t="n"/>
      <c r="D39" s="6" t="n"/>
    </row>
    <row r="40">
      <c r="A40" s="2" t="inlineStr">
        <is>
          <t>Margen bruto objetivo</t>
        </is>
      </c>
      <c r="B40" s="8" t="n">
        <v>0.8</v>
      </c>
      <c r="C40" s="3" t="inlineStr">
        <is>
          <t>%</t>
        </is>
      </c>
      <c r="D40" s="3" t="inlineStr">
        <is>
          <t>piso para el precio sugerido</t>
        </is>
      </c>
    </row>
    <row r="41">
      <c r="A41" s="2" t="inlineStr">
        <is>
          <t>IVA</t>
        </is>
      </c>
      <c r="B41" s="14" t="n">
        <v>0.19</v>
      </c>
      <c r="C41" s="3" t="inlineStr">
        <is>
          <t>%</t>
        </is>
      </c>
      <c r="D41" s="3" t="inlineStr">
        <is>
          <t>Colombia</t>
        </is>
      </c>
    </row>
    <row r="42">
      <c r="A42" s="2" t="inlineStr">
        <is>
          <t>Comisión Wompi (%)</t>
        </is>
      </c>
      <c r="B42" s="14" t="n">
        <v>0.0265</v>
      </c>
      <c r="C42" s="3" t="inlineStr">
        <is>
          <t>%</t>
        </is>
      </c>
      <c r="D42" s="3" t="inlineStr">
        <is>
          <t>sobre la recarga</t>
        </is>
      </c>
    </row>
    <row r="43">
      <c r="A43" s="2" t="inlineStr">
        <is>
          <t>Comisión Wompi (fija)</t>
        </is>
      </c>
      <c r="B43" s="15" t="n">
        <v>700</v>
      </c>
      <c r="C43" s="3" t="inlineStr">
        <is>
          <t>COP/tx</t>
        </is>
      </c>
      <c r="D43" s="3" t="inlineStr">
        <is>
          <t>por transacción</t>
        </is>
      </c>
    </row>
    <row r="44">
      <c r="A44" s="2" t="inlineStr">
        <is>
          <t>Mínimo por campaña</t>
        </is>
      </c>
      <c r="B44" s="15" t="n">
        <v>5000</v>
      </c>
      <c r="C44" s="3" t="inlineStr">
        <is>
          <t>COP</t>
        </is>
      </c>
      <c r="D44" s="3" t="inlineStr">
        <is>
          <t>cobro mínimo</t>
        </is>
      </c>
    </row>
    <row r="46">
      <c r="A46" s="5" t="inlineStr">
        <is>
          <t>COSTOS FIJOS MENSUALES (COP) — NO se reparten en las tablas de canal (ver hoja Resumen)</t>
        </is>
      </c>
      <c r="B46" s="6" t="n"/>
      <c r="C46" s="6" t="n"/>
      <c r="D46" s="6" t="n"/>
    </row>
    <row r="47">
      <c r="A47" s="2" t="inlineStr">
        <is>
          <t>IP dedicada SES (opcional)</t>
        </is>
      </c>
      <c r="B47" s="15" t="n">
        <v>0</v>
      </c>
      <c r="C47" s="3" t="inlineStr">
        <is>
          <t>COP/mes</t>
        </is>
      </c>
      <c r="D47" s="3" t="inlineStr">
        <is>
          <t>poné ~24,95×TRM si la contratás; en MVP va en 0</t>
        </is>
      </c>
    </row>
    <row r="48">
      <c r="A48" s="2" t="inlineStr">
        <is>
          <t>Números (SMS/WhatsApp/Voz)</t>
        </is>
      </c>
      <c r="B48" s="7" t="n">
        <v>8000</v>
      </c>
      <c r="C48" s="3" t="inlineStr">
        <is>
          <t>COP/mes</t>
        </is>
      </c>
      <c r="D48" s="3" t="inlineStr">
        <is>
          <t>Sender ID SMS = GRATIS · WhatsApp no cobra número · solo Voz necesita número (~US$2/mes). Ajustá</t>
        </is>
      </c>
    </row>
    <row r="49">
      <c r="A49" s="2" t="inlineStr">
        <is>
          <t>Otros fijos</t>
        </is>
      </c>
      <c r="B49" s="15" t="n">
        <v>7000</v>
      </c>
      <c r="C49" s="3" t="inlineStr">
        <is>
          <t>COP/mes</t>
        </is>
      </c>
      <c r="D49" s="3" t="inlineStr">
        <is>
          <t>dominio (~80.000/año ≈ 7.000/mes) + misc</t>
        </is>
      </c>
    </row>
    <row r="50">
      <c r="A50" s="2" t="inlineStr">
        <is>
          <t>Total fijos mensuales</t>
        </is>
      </c>
      <c r="B50" s="9">
        <f>B47+B48+B49</f>
        <v/>
      </c>
      <c r="C50" s="3" t="inlineStr">
        <is>
          <t>COP/mes</t>
        </is>
      </c>
      <c r="D50" s="3" t="inlineStr">
        <is>
          <t>muy bajos → se cubren con poquísimo volumen (ver Resumen)</t>
        </is>
      </c>
    </row>
    <row r="52">
      <c r="A52" s="5" t="inlineStr">
        <is>
          <t>COSTO VARIABLE POR MENSAJE (USD) — derivado</t>
        </is>
      </c>
      <c r="B52" s="6" t="n"/>
      <c r="C52" s="6" t="n"/>
      <c r="D52" s="6" t="n"/>
    </row>
    <row r="53">
      <c r="A53" s="2" t="inlineStr">
        <is>
          <t>Infra común por correo</t>
        </is>
      </c>
      <c r="B53" s="16">
        <f>B10+B27*B12+B29*B15+(B31*B32*B14)+((2/B28)*B13)+((2/B28)*B18)+((B33/1000)*B19)</f>
        <v/>
      </c>
      <c r="C53" s="3" t="inlineStr">
        <is>
          <t>USD/correo</t>
        </is>
      </c>
      <c r="D53" s="3" t="inlineStr">
        <is>
          <t>SES+SNS+DynamoDB+Lambda+SQS+logs</t>
        </is>
      </c>
    </row>
    <row r="54">
      <c r="A54" s="2" t="inlineStr">
        <is>
          <t>Infra común por SMS/WSP/Voz</t>
        </is>
      </c>
      <c r="B54" s="16">
        <f>B30*B15+(B31*B32*B14)+((2/B28)*B13)+((2/B28)*B18)+((B33/1000)*B19)</f>
        <v/>
      </c>
      <c r="C54" s="3" t="inlineStr">
        <is>
          <t>USD/msg</t>
        </is>
      </c>
      <c r="D54" s="3" t="inlineStr">
        <is>
          <t>sin SES/adjunto</t>
        </is>
      </c>
    </row>
    <row r="55">
      <c r="A55" s="2" t="inlineStr">
        <is>
          <t>EM (por correo)</t>
        </is>
      </c>
      <c r="B55" s="16">
        <f>B53</f>
        <v/>
      </c>
      <c r="C55" s="3" t="inlineStr">
        <is>
          <t>USD</t>
        </is>
      </c>
      <c r="D55" s="3" t="inlineStr"/>
    </row>
    <row r="56">
      <c r="A56" s="2" t="inlineStr">
        <is>
          <t>EAU (por correo, adjunto)</t>
        </is>
      </c>
      <c r="B56" s="16">
        <f>B53+B34*B11</f>
        <v/>
      </c>
      <c r="C56" s="3" t="inlineStr">
        <is>
          <t>USD</t>
        </is>
      </c>
      <c r="D56" s="3" t="inlineStr"/>
    </row>
    <row r="57">
      <c r="A57" s="2" t="inlineStr">
        <is>
          <t>EAP (por correo, adjunto)</t>
        </is>
      </c>
      <c r="B57" s="16">
        <f>B53+B35*B11</f>
        <v/>
      </c>
      <c r="C57" s="3" t="inlineStr">
        <is>
          <t>USD</t>
        </is>
      </c>
      <c r="D57" s="3" t="inlineStr"/>
    </row>
    <row r="58">
      <c r="A58" s="2" t="inlineStr">
        <is>
          <t>SMS (por SMS)</t>
        </is>
      </c>
      <c r="B58" s="16">
        <f>B54+B36*B22</f>
        <v/>
      </c>
      <c r="C58" s="3" t="inlineStr">
        <is>
          <t>USD</t>
        </is>
      </c>
      <c r="D58" s="3" t="inlineStr"/>
    </row>
    <row r="59">
      <c r="A59" s="2" t="inlineStr">
        <is>
          <t>WhatsApp (por mensaje)</t>
        </is>
      </c>
      <c r="B59" s="16">
        <f>B54+B23</f>
        <v/>
      </c>
      <c r="C59" s="3" t="inlineStr">
        <is>
          <t>USD</t>
        </is>
      </c>
      <c r="D59" s="3" t="inlineStr"/>
    </row>
    <row r="60">
      <c r="A60" s="2" t="inlineStr">
        <is>
          <t>Voz (por minuto)</t>
        </is>
      </c>
      <c r="B60" s="16">
        <f>B54+B24</f>
        <v/>
      </c>
      <c r="C60" s="3" t="inlineStr">
        <is>
          <t>USD</t>
        </is>
      </c>
      <c r="D60" s="3" t="inlineStr"/>
    </row>
    <row r="62">
      <c r="A62" s="5" t="inlineStr">
        <is>
          <t>COSTO DE ENVÍO POR MENSAJE (COP) — lo que usan las tablas de canal</t>
        </is>
      </c>
      <c r="B62" s="6" t="n"/>
      <c r="C62" s="6" t="n"/>
      <c r="D62" s="6" t="n"/>
    </row>
    <row r="63">
      <c r="A63" s="2" t="inlineStr">
        <is>
          <t>Costo de envío EM</t>
        </is>
      </c>
      <c r="B63" s="17">
        <f>B55*B7</f>
        <v/>
      </c>
      <c r="C63" s="3" t="inlineStr">
        <is>
          <t>COP/correo</t>
        </is>
      </c>
      <c r="D63" s="3" t="inlineStr">
        <is>
          <t>variable puro (USD→COP), SIN fijos</t>
        </is>
      </c>
    </row>
    <row r="64">
      <c r="A64" s="2" t="inlineStr">
        <is>
          <t>Costo de envío EAU</t>
        </is>
      </c>
      <c r="B64" s="17">
        <f>B56*B7</f>
        <v/>
      </c>
      <c r="C64" s="3" t="inlineStr">
        <is>
          <t>COP/correo</t>
        </is>
      </c>
      <c r="D64" s="3" t="inlineStr">
        <is>
          <t>variable puro (USD→COP), SIN fijos</t>
        </is>
      </c>
    </row>
    <row r="65">
      <c r="A65" s="2" t="inlineStr">
        <is>
          <t>Costo de envío EAP</t>
        </is>
      </c>
      <c r="B65" s="17">
        <f>B57*B7</f>
        <v/>
      </c>
      <c r="C65" s="3" t="inlineStr">
        <is>
          <t>COP/correo</t>
        </is>
      </c>
      <c r="D65" s="3" t="inlineStr">
        <is>
          <t>variable puro (USD→COP), SIN fijos</t>
        </is>
      </c>
    </row>
    <row r="66">
      <c r="A66" s="2" t="inlineStr">
        <is>
          <t>Costo de envío SMS</t>
        </is>
      </c>
      <c r="B66" s="17">
        <f>B58*B7</f>
        <v/>
      </c>
      <c r="C66" s="3" t="inlineStr">
        <is>
          <t>COP/SMS</t>
        </is>
      </c>
      <c r="D66" s="3" t="inlineStr">
        <is>
          <t>variable puro (USD→COP), SIN fijos</t>
        </is>
      </c>
    </row>
    <row r="67">
      <c r="A67" s="2" t="inlineStr">
        <is>
          <t>Costo de envío WhatsApp</t>
        </is>
      </c>
      <c r="B67" s="17">
        <f>B59*B7</f>
        <v/>
      </c>
      <c r="C67" s="3" t="inlineStr">
        <is>
          <t>COP/mensaje</t>
        </is>
      </c>
      <c r="D67" s="3" t="inlineStr">
        <is>
          <t>variable puro (USD→COP), SIN fijos</t>
        </is>
      </c>
    </row>
    <row r="68">
      <c r="A68" s="2" t="inlineStr">
        <is>
          <t>Costo de envío Voz</t>
        </is>
      </c>
      <c r="B68" s="17">
        <f>B60*B7</f>
        <v/>
      </c>
      <c r="C68" s="3" t="inlineStr">
        <is>
          <t>COP/minuto</t>
        </is>
      </c>
      <c r="D68" s="3" t="inlineStr">
        <is>
          <t>variable puro (USD→COP), SIN fijos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BF87"/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5" customWidth="1" min="5" max="5"/>
    <col width="15" customWidth="1" min="6" max="6"/>
    <col width="10" customWidth="1" min="7" max="7"/>
    <col width="16" customWidth="1" min="8" max="8"/>
  </cols>
  <sheetData>
    <row r="1">
      <c r="A1" s="1" t="inlineStr">
        <is>
          <t>EM — Email marketing — sin adjunto</t>
        </is>
      </c>
    </row>
    <row r="2">
      <c r="A2" s="3" t="inlineStr">
        <is>
          <t>Solo COSTO DE ENVÍO (variable), SIN costos fijos (ver hoja 'Resumen'). Margen = Ingreso − costo de envío = margen de contribución. Si 'Precio lista' ≥ 'Precio mín.', llegás al margen objetivo. 'Precio lista' (azul) es editable por tramo.</t>
        </is>
      </c>
    </row>
    <row r="4" ht="32" customHeight="1">
      <c r="A4" s="18" t="inlineStr">
        <is>
          <t>Volumen mensual (correos)</t>
        </is>
      </c>
      <c r="B4" s="18" t="inlineStr">
        <is>
          <t>Costo de envío unit. (COP)</t>
        </is>
      </c>
      <c r="C4" s="18" t="inlineStr">
        <is>
          <t>Precio mín. ≥margen (COP)</t>
        </is>
      </c>
      <c r="D4" s="18" t="inlineStr">
        <is>
          <t>Precio lista (COP)</t>
        </is>
      </c>
      <c r="E4" s="18" t="inlineStr">
        <is>
          <t>Ingreso (COP)</t>
        </is>
      </c>
      <c r="F4" s="18" t="inlineStr">
        <is>
          <t>Margen (COP)</t>
        </is>
      </c>
      <c r="G4" s="18" t="inlineStr">
        <is>
          <t>% Margen</t>
        </is>
      </c>
      <c r="H4" s="18" t="inlineStr">
        <is>
          <t>Total + IVA (COP)</t>
        </is>
      </c>
    </row>
    <row r="5">
      <c r="A5" s="19" t="n">
        <v>1000</v>
      </c>
      <c r="B5" s="20">
        <f>Supuestos!$B$63</f>
        <v/>
      </c>
      <c r="C5" s="21">
        <f>B5/(1-Supuestos!$B$40)</f>
        <v/>
      </c>
      <c r="D5" s="22" t="n">
        <v>30</v>
      </c>
      <c r="E5" s="23">
        <f>A5*D5</f>
        <v/>
      </c>
      <c r="F5" s="23">
        <f>E5-A5*B5</f>
        <v/>
      </c>
      <c r="G5" s="24">
        <f>IF(D5=0,0,(D5-B5)/D5)</f>
        <v/>
      </c>
      <c r="H5" s="23">
        <f>E5*(1+Supuestos!$B$41)</f>
        <v/>
      </c>
    </row>
    <row r="6">
      <c r="A6" s="19" t="n">
        <v>2000</v>
      </c>
      <c r="B6" s="20">
        <f>Supuestos!$B$63</f>
        <v/>
      </c>
      <c r="C6" s="21">
        <f>B6/(1-Supuestos!$B$40)</f>
        <v/>
      </c>
      <c r="D6" s="22" t="n">
        <v>28</v>
      </c>
      <c r="E6" s="23">
        <f>A6*D6</f>
        <v/>
      </c>
      <c r="F6" s="23">
        <f>E6-A6*B6</f>
        <v/>
      </c>
      <c r="G6" s="24">
        <f>IF(D6=0,0,(D6-B6)/D6)</f>
        <v/>
      </c>
      <c r="H6" s="23">
        <f>E6*(1+Supuestos!$B$41)</f>
        <v/>
      </c>
    </row>
    <row r="7">
      <c r="A7" s="19" t="n">
        <v>5000</v>
      </c>
      <c r="B7" s="20">
        <f>Supuestos!$B$63</f>
        <v/>
      </c>
      <c r="C7" s="21">
        <f>B7/(1-Supuestos!$B$40)</f>
        <v/>
      </c>
      <c r="D7" s="22" t="n">
        <v>27</v>
      </c>
      <c r="E7" s="23">
        <f>A7*D7</f>
        <v/>
      </c>
      <c r="F7" s="23">
        <f>E7-A7*B7</f>
        <v/>
      </c>
      <c r="G7" s="24">
        <f>IF(D7=0,0,(D7-B7)/D7)</f>
        <v/>
      </c>
      <c r="H7" s="23">
        <f>E7*(1+Supuestos!$B$41)</f>
        <v/>
      </c>
    </row>
    <row r="8">
      <c r="A8" s="19" t="n">
        <v>10000</v>
      </c>
      <c r="B8" s="20">
        <f>Supuestos!$B$63</f>
        <v/>
      </c>
      <c r="C8" s="21">
        <f>B8/(1-Supuestos!$B$40)</f>
        <v/>
      </c>
      <c r="D8" s="22" t="n">
        <v>25</v>
      </c>
      <c r="E8" s="23">
        <f>A8*D8</f>
        <v/>
      </c>
      <c r="F8" s="23">
        <f>E8-A8*B8</f>
        <v/>
      </c>
      <c r="G8" s="24">
        <f>IF(D8=0,0,(D8-B8)/D8)</f>
        <v/>
      </c>
      <c r="H8" s="23">
        <f>E8*(1+Supuestos!$B$41)</f>
        <v/>
      </c>
    </row>
    <row r="9">
      <c r="A9" s="19" t="n">
        <v>20000</v>
      </c>
      <c r="B9" s="20">
        <f>Supuestos!$B$63</f>
        <v/>
      </c>
      <c r="C9" s="21">
        <f>B9/(1-Supuestos!$B$40)</f>
        <v/>
      </c>
      <c r="D9" s="22" t="n">
        <v>21</v>
      </c>
      <c r="E9" s="23">
        <f>A9*D9</f>
        <v/>
      </c>
      <c r="F9" s="23">
        <f>E9-A9*B9</f>
        <v/>
      </c>
      <c r="G9" s="24">
        <f>IF(D9=0,0,(D9-B9)/D9)</f>
        <v/>
      </c>
      <c r="H9" s="23">
        <f>E9*(1+Supuestos!$B$41)</f>
        <v/>
      </c>
    </row>
    <row r="10">
      <c r="A10" s="19" t="n">
        <v>50000</v>
      </c>
      <c r="B10" s="20">
        <f>Supuestos!$B$63</f>
        <v/>
      </c>
      <c r="C10" s="21">
        <f>B10/(1-Supuestos!$B$40)</f>
        <v/>
      </c>
      <c r="D10" s="22" t="n">
        <v>19</v>
      </c>
      <c r="E10" s="23">
        <f>A10*D10</f>
        <v/>
      </c>
      <c r="F10" s="23">
        <f>E10-A10*B10</f>
        <v/>
      </c>
      <c r="G10" s="24">
        <f>IF(D10=0,0,(D10-B10)/D10)</f>
        <v/>
      </c>
      <c r="H10" s="23">
        <f>E10*(1+Supuestos!$B$41)</f>
        <v/>
      </c>
    </row>
    <row r="11">
      <c r="A11" s="19" t="n">
        <v>100000</v>
      </c>
      <c r="B11" s="20">
        <f>Supuestos!$B$63</f>
        <v/>
      </c>
      <c r="C11" s="21">
        <f>B11/(1-Supuestos!$B$40)</f>
        <v/>
      </c>
      <c r="D11" s="22" t="n">
        <v>14</v>
      </c>
      <c r="E11" s="23">
        <f>A11*D11</f>
        <v/>
      </c>
      <c r="F11" s="23">
        <f>E11-A11*B11</f>
        <v/>
      </c>
      <c r="G11" s="24">
        <f>IF(D11=0,0,(D11-B11)/D11)</f>
        <v/>
      </c>
      <c r="H11" s="23">
        <f>E11*(1+Supuestos!$B$41)</f>
        <v/>
      </c>
    </row>
    <row r="12">
      <c r="A12" s="19" t="n">
        <v>200000</v>
      </c>
      <c r="B12" s="20">
        <f>Supuestos!$B$63</f>
        <v/>
      </c>
      <c r="C12" s="21">
        <f>B12/(1-Supuestos!$B$40)</f>
        <v/>
      </c>
      <c r="D12" s="22" t="n">
        <v>9</v>
      </c>
      <c r="E12" s="23">
        <f>A12*D12</f>
        <v/>
      </c>
      <c r="F12" s="23">
        <f>E12-A12*B12</f>
        <v/>
      </c>
      <c r="G12" s="24">
        <f>IF(D12=0,0,(D12-B12)/D12)</f>
        <v/>
      </c>
      <c r="H12" s="23">
        <f>E12*(1+Supuestos!$B$41)</f>
        <v/>
      </c>
    </row>
    <row r="13">
      <c r="A13" s="19" t="n">
        <v>500000</v>
      </c>
      <c r="B13" s="20">
        <f>Supuestos!$B$63</f>
        <v/>
      </c>
      <c r="C13" s="21">
        <f>B13/(1-Supuestos!$B$40)</f>
        <v/>
      </c>
      <c r="D13" s="22" t="n">
        <v>5</v>
      </c>
      <c r="E13" s="23">
        <f>A13*D13</f>
        <v/>
      </c>
      <c r="F13" s="23">
        <f>E13-A13*B13</f>
        <v/>
      </c>
      <c r="G13" s="24">
        <f>IF(D13=0,0,(D13-B13)/D13)</f>
        <v/>
      </c>
      <c r="H13" s="23">
        <f>E13*(1+Supuestos!$B$41)</f>
        <v/>
      </c>
    </row>
    <row r="14">
      <c r="A14" s="19" t="n">
        <v>1000000</v>
      </c>
      <c r="B14" s="20">
        <f>Supuestos!$B$63</f>
        <v/>
      </c>
      <c r="C14" s="21">
        <f>B14/(1-Supuestos!$B$40)</f>
        <v/>
      </c>
      <c r="D14" s="22" t="n">
        <v>4</v>
      </c>
      <c r="E14" s="23">
        <f>A14*D14</f>
        <v/>
      </c>
      <c r="F14" s="23">
        <f>E14-A14*B14</f>
        <v/>
      </c>
      <c r="G14" s="24">
        <f>IF(D14=0,0,(D14-B14)/D14)</f>
        <v/>
      </c>
      <c r="H14" s="23">
        <f>E14*(1+Supuestos!$B$41)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BF87"/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5" customWidth="1" min="5" max="5"/>
    <col width="15" customWidth="1" min="6" max="6"/>
    <col width="10" customWidth="1" min="7" max="7"/>
    <col width="16" customWidth="1" min="8" max="8"/>
  </cols>
  <sheetData>
    <row r="1">
      <c r="A1" s="1" t="inlineStr">
        <is>
          <t>EAU — Email con adjunto único</t>
        </is>
      </c>
    </row>
    <row r="2">
      <c r="A2" s="3" t="inlineStr">
        <is>
          <t>Solo COSTO DE ENVÍO (variable), SIN costos fijos (ver hoja 'Resumen'). Margen = Ingreso − costo de envío = margen de contribución. Si 'Precio lista' ≥ 'Precio mín.', llegás al margen objetivo. 'Precio lista' (azul) es editable por tramo.</t>
        </is>
      </c>
    </row>
    <row r="4" ht="32" customHeight="1">
      <c r="A4" s="18" t="inlineStr">
        <is>
          <t>Volumen mensual (correos)</t>
        </is>
      </c>
      <c r="B4" s="18" t="inlineStr">
        <is>
          <t>Costo de envío unit. (COP)</t>
        </is>
      </c>
      <c r="C4" s="18" t="inlineStr">
        <is>
          <t>Precio mín. ≥margen (COP)</t>
        </is>
      </c>
      <c r="D4" s="18" t="inlineStr">
        <is>
          <t>Precio lista (COP)</t>
        </is>
      </c>
      <c r="E4" s="18" t="inlineStr">
        <is>
          <t>Ingreso (COP)</t>
        </is>
      </c>
      <c r="F4" s="18" t="inlineStr">
        <is>
          <t>Margen (COP)</t>
        </is>
      </c>
      <c r="G4" s="18" t="inlineStr">
        <is>
          <t>% Margen</t>
        </is>
      </c>
      <c r="H4" s="18" t="inlineStr">
        <is>
          <t>Total + IVA (COP)</t>
        </is>
      </c>
    </row>
    <row r="5">
      <c r="A5" s="19" t="n">
        <v>1000</v>
      </c>
      <c r="B5" s="20">
        <f>Supuestos!$B$64</f>
        <v/>
      </c>
      <c r="C5" s="21">
        <f>B5/(1-Supuestos!$B$40)</f>
        <v/>
      </c>
      <c r="D5" s="22" t="n">
        <v>45</v>
      </c>
      <c r="E5" s="23">
        <f>A5*D5</f>
        <v/>
      </c>
      <c r="F5" s="23">
        <f>E5-A5*B5</f>
        <v/>
      </c>
      <c r="G5" s="24">
        <f>IF(D5=0,0,(D5-B5)/D5)</f>
        <v/>
      </c>
      <c r="H5" s="23">
        <f>E5*(1+Supuestos!$B$41)</f>
        <v/>
      </c>
    </row>
    <row r="6">
      <c r="A6" s="19" t="n">
        <v>2000</v>
      </c>
      <c r="B6" s="20">
        <f>Supuestos!$B$64</f>
        <v/>
      </c>
      <c r="C6" s="21">
        <f>B6/(1-Supuestos!$B$40)</f>
        <v/>
      </c>
      <c r="D6" s="22" t="n">
        <v>42</v>
      </c>
      <c r="E6" s="23">
        <f>A6*D6</f>
        <v/>
      </c>
      <c r="F6" s="23">
        <f>E6-A6*B6</f>
        <v/>
      </c>
      <c r="G6" s="24">
        <f>IF(D6=0,0,(D6-B6)/D6)</f>
        <v/>
      </c>
      <c r="H6" s="23">
        <f>E6*(1+Supuestos!$B$41)</f>
        <v/>
      </c>
    </row>
    <row r="7">
      <c r="A7" s="19" t="n">
        <v>5000</v>
      </c>
      <c r="B7" s="20">
        <f>Supuestos!$B$64</f>
        <v/>
      </c>
      <c r="C7" s="21">
        <f>B7/(1-Supuestos!$B$40)</f>
        <v/>
      </c>
      <c r="D7" s="22" t="n">
        <v>40</v>
      </c>
      <c r="E7" s="23">
        <f>A7*D7</f>
        <v/>
      </c>
      <c r="F7" s="23">
        <f>E7-A7*B7</f>
        <v/>
      </c>
      <c r="G7" s="24">
        <f>IF(D7=0,0,(D7-B7)/D7)</f>
        <v/>
      </c>
      <c r="H7" s="23">
        <f>E7*(1+Supuestos!$B$41)</f>
        <v/>
      </c>
    </row>
    <row r="8">
      <c r="A8" s="19" t="n">
        <v>10000</v>
      </c>
      <c r="B8" s="20">
        <f>Supuestos!$B$64</f>
        <v/>
      </c>
      <c r="C8" s="21">
        <f>B8/(1-Supuestos!$B$40)</f>
        <v/>
      </c>
      <c r="D8" s="22" t="n">
        <v>37</v>
      </c>
      <c r="E8" s="23">
        <f>A8*D8</f>
        <v/>
      </c>
      <c r="F8" s="23">
        <f>E8-A8*B8</f>
        <v/>
      </c>
      <c r="G8" s="24">
        <f>IF(D8=0,0,(D8-B8)/D8)</f>
        <v/>
      </c>
      <c r="H8" s="23">
        <f>E8*(1+Supuestos!$B$41)</f>
        <v/>
      </c>
    </row>
    <row r="9">
      <c r="A9" s="19" t="n">
        <v>20000</v>
      </c>
      <c r="B9" s="20">
        <f>Supuestos!$B$64</f>
        <v/>
      </c>
      <c r="C9" s="21">
        <f>B9/(1-Supuestos!$B$40)</f>
        <v/>
      </c>
      <c r="D9" s="22" t="n">
        <v>31</v>
      </c>
      <c r="E9" s="23">
        <f>A9*D9</f>
        <v/>
      </c>
      <c r="F9" s="23">
        <f>E9-A9*B9</f>
        <v/>
      </c>
      <c r="G9" s="24">
        <f>IF(D9=0,0,(D9-B9)/D9)</f>
        <v/>
      </c>
      <c r="H9" s="23">
        <f>E9*(1+Supuestos!$B$41)</f>
        <v/>
      </c>
    </row>
    <row r="10">
      <c r="A10" s="19" t="n">
        <v>50000</v>
      </c>
      <c r="B10" s="20">
        <f>Supuestos!$B$64</f>
        <v/>
      </c>
      <c r="C10" s="21">
        <f>B10/(1-Supuestos!$B$40)</f>
        <v/>
      </c>
      <c r="D10" s="22" t="n">
        <v>28</v>
      </c>
      <c r="E10" s="23">
        <f>A10*D10</f>
        <v/>
      </c>
      <c r="F10" s="23">
        <f>E10-A10*B10</f>
        <v/>
      </c>
      <c r="G10" s="24">
        <f>IF(D10=0,0,(D10-B10)/D10)</f>
        <v/>
      </c>
      <c r="H10" s="23">
        <f>E10*(1+Supuestos!$B$41)</f>
        <v/>
      </c>
    </row>
    <row r="11">
      <c r="A11" s="19" t="n">
        <v>100000</v>
      </c>
      <c r="B11" s="20">
        <f>Supuestos!$B$64</f>
        <v/>
      </c>
      <c r="C11" s="21">
        <f>B11/(1-Supuestos!$B$40)</f>
        <v/>
      </c>
      <c r="D11" s="22" t="n">
        <v>21</v>
      </c>
      <c r="E11" s="23">
        <f>A11*D11</f>
        <v/>
      </c>
      <c r="F11" s="23">
        <f>E11-A11*B11</f>
        <v/>
      </c>
      <c r="G11" s="24">
        <f>IF(D11=0,0,(D11-B11)/D11)</f>
        <v/>
      </c>
      <c r="H11" s="23">
        <f>E11*(1+Supuestos!$B$41)</f>
        <v/>
      </c>
    </row>
    <row r="12">
      <c r="A12" s="19" t="n">
        <v>200000</v>
      </c>
      <c r="B12" s="20">
        <f>Supuestos!$B$64</f>
        <v/>
      </c>
      <c r="C12" s="21">
        <f>B12/(1-Supuestos!$B$40)</f>
        <v/>
      </c>
      <c r="D12" s="22" t="n">
        <v>14</v>
      </c>
      <c r="E12" s="23">
        <f>A12*D12</f>
        <v/>
      </c>
      <c r="F12" s="23">
        <f>E12-A12*B12</f>
        <v/>
      </c>
      <c r="G12" s="24">
        <f>IF(D12=0,0,(D12-B12)/D12)</f>
        <v/>
      </c>
      <c r="H12" s="23">
        <f>E12*(1+Supuestos!$B$41)</f>
        <v/>
      </c>
    </row>
    <row r="13">
      <c r="A13" s="19" t="n">
        <v>500000</v>
      </c>
      <c r="B13" s="20">
        <f>Supuestos!$B$64</f>
        <v/>
      </c>
      <c r="C13" s="21">
        <f>B13/(1-Supuestos!$B$40)</f>
        <v/>
      </c>
      <c r="D13" s="22" t="n">
        <v>8</v>
      </c>
      <c r="E13" s="23">
        <f>A13*D13</f>
        <v/>
      </c>
      <c r="F13" s="23">
        <f>E13-A13*B13</f>
        <v/>
      </c>
      <c r="G13" s="24">
        <f>IF(D13=0,0,(D13-B13)/D13)</f>
        <v/>
      </c>
      <c r="H13" s="23">
        <f>E13*(1+Supuestos!$B$41)</f>
        <v/>
      </c>
    </row>
    <row r="14">
      <c r="A14" s="19" t="n">
        <v>1000000</v>
      </c>
      <c r="B14" s="20">
        <f>Supuestos!$B$64</f>
        <v/>
      </c>
      <c r="C14" s="21">
        <f>B14/(1-Supuestos!$B$40)</f>
        <v/>
      </c>
      <c r="D14" s="22" t="n">
        <v>6</v>
      </c>
      <c r="E14" s="23">
        <f>A14*D14</f>
        <v/>
      </c>
      <c r="F14" s="23">
        <f>E14-A14*B14</f>
        <v/>
      </c>
      <c r="G14" s="24">
        <f>IF(D14=0,0,(D14-B14)/D14)</f>
        <v/>
      </c>
      <c r="H14" s="23">
        <f>E14*(1+Supuestos!$B$41)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BF87"/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5" customWidth="1" min="5" max="5"/>
    <col width="15" customWidth="1" min="6" max="6"/>
    <col width="10" customWidth="1" min="7" max="7"/>
    <col width="16" customWidth="1" min="8" max="8"/>
  </cols>
  <sheetData>
    <row r="1">
      <c r="A1" s="1" t="inlineStr">
        <is>
          <t>EAP — Email con adjunto personalizado</t>
        </is>
      </c>
    </row>
    <row r="2">
      <c r="A2" s="3" t="inlineStr">
        <is>
          <t>Solo COSTO DE ENVÍO (variable), SIN costos fijos (ver hoja 'Resumen'). Margen = Ingreso − costo de envío = margen de contribución. Si 'Precio lista' ≥ 'Precio mín.', llegás al margen objetivo. 'Precio lista' (azul) es editable por tramo.</t>
        </is>
      </c>
    </row>
    <row r="4" ht="32" customHeight="1">
      <c r="A4" s="18" t="inlineStr">
        <is>
          <t>Volumen mensual (correos)</t>
        </is>
      </c>
      <c r="B4" s="18" t="inlineStr">
        <is>
          <t>Costo de envío unit. (COP)</t>
        </is>
      </c>
      <c r="C4" s="18" t="inlineStr">
        <is>
          <t>Precio mín. ≥margen (COP)</t>
        </is>
      </c>
      <c r="D4" s="18" t="inlineStr">
        <is>
          <t>Precio lista (COP)</t>
        </is>
      </c>
      <c r="E4" s="18" t="inlineStr">
        <is>
          <t>Ingreso (COP)</t>
        </is>
      </c>
      <c r="F4" s="18" t="inlineStr">
        <is>
          <t>Margen (COP)</t>
        </is>
      </c>
      <c r="G4" s="18" t="inlineStr">
        <is>
          <t>% Margen</t>
        </is>
      </c>
      <c r="H4" s="18" t="inlineStr">
        <is>
          <t>Total + IVA (COP)</t>
        </is>
      </c>
    </row>
    <row r="5">
      <c r="A5" s="19" t="n">
        <v>1000</v>
      </c>
      <c r="B5" s="20">
        <f>Supuestos!$B$65</f>
        <v/>
      </c>
      <c r="C5" s="21">
        <f>B5/(1-Supuestos!$B$40)</f>
        <v/>
      </c>
      <c r="D5" s="22" t="n">
        <v>60</v>
      </c>
      <c r="E5" s="23">
        <f>A5*D5</f>
        <v/>
      </c>
      <c r="F5" s="23">
        <f>E5-A5*B5</f>
        <v/>
      </c>
      <c r="G5" s="24">
        <f>IF(D5=0,0,(D5-B5)/D5)</f>
        <v/>
      </c>
      <c r="H5" s="23">
        <f>E5*(1+Supuestos!$B$41)</f>
        <v/>
      </c>
    </row>
    <row r="6">
      <c r="A6" s="19" t="n">
        <v>2000</v>
      </c>
      <c r="B6" s="20">
        <f>Supuestos!$B$65</f>
        <v/>
      </c>
      <c r="C6" s="21">
        <f>B6/(1-Supuestos!$B$40)</f>
        <v/>
      </c>
      <c r="D6" s="22" t="n">
        <v>55</v>
      </c>
      <c r="E6" s="23">
        <f>A6*D6</f>
        <v/>
      </c>
      <c r="F6" s="23">
        <f>E6-A6*B6</f>
        <v/>
      </c>
      <c r="G6" s="24">
        <f>IF(D6=0,0,(D6-B6)/D6)</f>
        <v/>
      </c>
      <c r="H6" s="23">
        <f>E6*(1+Supuestos!$B$41)</f>
        <v/>
      </c>
    </row>
    <row r="7">
      <c r="A7" s="19" t="n">
        <v>5000</v>
      </c>
      <c r="B7" s="20">
        <f>Supuestos!$B$65</f>
        <v/>
      </c>
      <c r="C7" s="21">
        <f>B7/(1-Supuestos!$B$40)</f>
        <v/>
      </c>
      <c r="D7" s="22" t="n">
        <v>50</v>
      </c>
      <c r="E7" s="23">
        <f>A7*D7</f>
        <v/>
      </c>
      <c r="F7" s="23">
        <f>E7-A7*B7</f>
        <v/>
      </c>
      <c r="G7" s="24">
        <f>IF(D7=0,0,(D7-B7)/D7)</f>
        <v/>
      </c>
      <c r="H7" s="23">
        <f>E7*(1+Supuestos!$B$41)</f>
        <v/>
      </c>
    </row>
    <row r="8">
      <c r="A8" s="19" t="n">
        <v>10000</v>
      </c>
      <c r="B8" s="20">
        <f>Supuestos!$B$65</f>
        <v/>
      </c>
      <c r="C8" s="21">
        <f>B8/(1-Supuestos!$B$40)</f>
        <v/>
      </c>
      <c r="D8" s="22" t="n">
        <v>46</v>
      </c>
      <c r="E8" s="23">
        <f>A8*D8</f>
        <v/>
      </c>
      <c r="F8" s="23">
        <f>E8-A8*B8</f>
        <v/>
      </c>
      <c r="G8" s="24">
        <f>IF(D8=0,0,(D8-B8)/D8)</f>
        <v/>
      </c>
      <c r="H8" s="23">
        <f>E8*(1+Supuestos!$B$41)</f>
        <v/>
      </c>
    </row>
    <row r="9">
      <c r="A9" s="19" t="n">
        <v>20000</v>
      </c>
      <c r="B9" s="20">
        <f>Supuestos!$B$65</f>
        <v/>
      </c>
      <c r="C9" s="21">
        <f>B9/(1-Supuestos!$B$40)</f>
        <v/>
      </c>
      <c r="D9" s="22" t="n">
        <v>38</v>
      </c>
      <c r="E9" s="23">
        <f>A9*D9</f>
        <v/>
      </c>
      <c r="F9" s="23">
        <f>E9-A9*B9</f>
        <v/>
      </c>
      <c r="G9" s="24">
        <f>IF(D9=0,0,(D9-B9)/D9)</f>
        <v/>
      </c>
      <c r="H9" s="23">
        <f>E9*(1+Supuestos!$B$41)</f>
        <v/>
      </c>
    </row>
    <row r="10">
      <c r="A10" s="19" t="n">
        <v>50000</v>
      </c>
      <c r="B10" s="20">
        <f>Supuestos!$B$65</f>
        <v/>
      </c>
      <c r="C10" s="21">
        <f>B10/(1-Supuestos!$B$40)</f>
        <v/>
      </c>
      <c r="D10" s="22" t="n">
        <v>33</v>
      </c>
      <c r="E10" s="23">
        <f>A10*D10</f>
        <v/>
      </c>
      <c r="F10" s="23">
        <f>E10-A10*B10</f>
        <v/>
      </c>
      <c r="G10" s="24">
        <f>IF(D10=0,0,(D10-B10)/D10)</f>
        <v/>
      </c>
      <c r="H10" s="23">
        <f>E10*(1+Supuestos!$B$41)</f>
        <v/>
      </c>
    </row>
    <row r="11">
      <c r="A11" s="19" t="n">
        <v>100000</v>
      </c>
      <c r="B11" s="20">
        <f>Supuestos!$B$65</f>
        <v/>
      </c>
      <c r="C11" s="21">
        <f>B11/(1-Supuestos!$B$40)</f>
        <v/>
      </c>
      <c r="D11" s="22" t="n">
        <v>24</v>
      </c>
      <c r="E11" s="23">
        <f>A11*D11</f>
        <v/>
      </c>
      <c r="F11" s="23">
        <f>E11-A11*B11</f>
        <v/>
      </c>
      <c r="G11" s="24">
        <f>IF(D11=0,0,(D11-B11)/D11)</f>
        <v/>
      </c>
      <c r="H11" s="23">
        <f>E11*(1+Supuestos!$B$41)</f>
        <v/>
      </c>
    </row>
    <row r="12">
      <c r="A12" s="19" t="n">
        <v>200000</v>
      </c>
      <c r="B12" s="20">
        <f>Supuestos!$B$65</f>
        <v/>
      </c>
      <c r="C12" s="21">
        <f>B12/(1-Supuestos!$B$40)</f>
        <v/>
      </c>
      <c r="D12" s="22" t="n">
        <v>16</v>
      </c>
      <c r="E12" s="23">
        <f>A12*D12</f>
        <v/>
      </c>
      <c r="F12" s="23">
        <f>E12-A12*B12</f>
        <v/>
      </c>
      <c r="G12" s="24">
        <f>IF(D12=0,0,(D12-B12)/D12)</f>
        <v/>
      </c>
      <c r="H12" s="23">
        <f>E12*(1+Supuestos!$B$41)</f>
        <v/>
      </c>
    </row>
    <row r="13">
      <c r="A13" s="19" t="n">
        <v>500000</v>
      </c>
      <c r="B13" s="20">
        <f>Supuestos!$B$65</f>
        <v/>
      </c>
      <c r="C13" s="21">
        <f>B13/(1-Supuestos!$B$40)</f>
        <v/>
      </c>
      <c r="D13" s="22" t="n">
        <v>10</v>
      </c>
      <c r="E13" s="23">
        <f>A13*D13</f>
        <v/>
      </c>
      <c r="F13" s="23">
        <f>E13-A13*B13</f>
        <v/>
      </c>
      <c r="G13" s="24">
        <f>IF(D13=0,0,(D13-B13)/D13)</f>
        <v/>
      </c>
      <c r="H13" s="23">
        <f>E13*(1+Supuestos!$B$41)</f>
        <v/>
      </c>
    </row>
    <row r="14">
      <c r="A14" s="19" t="n">
        <v>1000000</v>
      </c>
      <c r="B14" s="20">
        <f>Supuestos!$B$65</f>
        <v/>
      </c>
      <c r="C14" s="21">
        <f>B14/(1-Supuestos!$B$40)</f>
        <v/>
      </c>
      <c r="D14" s="22" t="n">
        <v>8</v>
      </c>
      <c r="E14" s="23">
        <f>A14*D14</f>
        <v/>
      </c>
      <c r="F14" s="23">
        <f>E14-A14*B14</f>
        <v/>
      </c>
      <c r="G14" s="24">
        <f>IF(D14=0,0,(D14-B14)/D14)</f>
        <v/>
      </c>
      <c r="H14" s="23">
        <f>E14*(1+Supuestos!$B$41)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C3FF"/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5" customWidth="1" min="5" max="5"/>
    <col width="15" customWidth="1" min="6" max="6"/>
    <col width="10" customWidth="1" min="7" max="7"/>
    <col width="16" customWidth="1" min="8" max="8"/>
  </cols>
  <sheetData>
    <row r="1">
      <c r="A1" s="1" t="inlineStr">
        <is>
          <t>SMS — SMS (AWS End User Messaging)</t>
        </is>
      </c>
    </row>
    <row r="2">
      <c r="A2" s="3" t="inlineStr">
        <is>
          <t>Solo COSTO DE ENVÍO (variable), SIN costos fijos (ver hoja 'Resumen'). Margen = Ingreso − costo de envío = margen de contribución. Si 'Precio lista' ≥ 'Precio mín.', llegás al margen objetivo. 'Precio lista' (azul) es editable por tramo.</t>
        </is>
      </c>
    </row>
    <row r="4" ht="32" customHeight="1">
      <c r="A4" s="18" t="inlineStr">
        <is>
          <t>Volumen mensual (SMS)</t>
        </is>
      </c>
      <c r="B4" s="18" t="inlineStr">
        <is>
          <t>Costo de envío unit. (COP)</t>
        </is>
      </c>
      <c r="C4" s="18" t="inlineStr">
        <is>
          <t>Precio mín. ≥margen (COP)</t>
        </is>
      </c>
      <c r="D4" s="18" t="inlineStr">
        <is>
          <t>Precio lista (COP)</t>
        </is>
      </c>
      <c r="E4" s="18" t="inlineStr">
        <is>
          <t>Ingreso (COP)</t>
        </is>
      </c>
      <c r="F4" s="18" t="inlineStr">
        <is>
          <t>Margen (COP)</t>
        </is>
      </c>
      <c r="G4" s="18" t="inlineStr">
        <is>
          <t>% Margen</t>
        </is>
      </c>
      <c r="H4" s="18" t="inlineStr">
        <is>
          <t>Total + IVA (COP)</t>
        </is>
      </c>
    </row>
    <row r="5">
      <c r="A5" s="19" t="n">
        <v>1000</v>
      </c>
      <c r="B5" s="20">
        <f>Supuestos!$B$66</f>
        <v/>
      </c>
      <c r="C5" s="21">
        <f>B5/(1-Supuestos!$B$40)</f>
        <v/>
      </c>
      <c r="D5" s="22" t="n">
        <v>55</v>
      </c>
      <c r="E5" s="23">
        <f>A5*D5</f>
        <v/>
      </c>
      <c r="F5" s="23">
        <f>E5-A5*B5</f>
        <v/>
      </c>
      <c r="G5" s="24">
        <f>IF(D5=0,0,(D5-B5)/D5)</f>
        <v/>
      </c>
      <c r="H5" s="23">
        <f>E5*(1+Supuestos!$B$41)</f>
        <v/>
      </c>
    </row>
    <row r="6">
      <c r="A6" s="19" t="n">
        <v>2000</v>
      </c>
      <c r="B6" s="20">
        <f>Supuestos!$B$66</f>
        <v/>
      </c>
      <c r="C6" s="21">
        <f>B6/(1-Supuestos!$B$40)</f>
        <v/>
      </c>
      <c r="D6" s="22" t="n">
        <v>50</v>
      </c>
      <c r="E6" s="23">
        <f>A6*D6</f>
        <v/>
      </c>
      <c r="F6" s="23">
        <f>E6-A6*B6</f>
        <v/>
      </c>
      <c r="G6" s="24">
        <f>IF(D6=0,0,(D6-B6)/D6)</f>
        <v/>
      </c>
      <c r="H6" s="23">
        <f>E6*(1+Supuestos!$B$41)</f>
        <v/>
      </c>
    </row>
    <row r="7">
      <c r="A7" s="19" t="n">
        <v>5000</v>
      </c>
      <c r="B7" s="20">
        <f>Supuestos!$B$66</f>
        <v/>
      </c>
      <c r="C7" s="21">
        <f>B7/(1-Supuestos!$B$40)</f>
        <v/>
      </c>
      <c r="D7" s="22" t="n">
        <v>45</v>
      </c>
      <c r="E7" s="23">
        <f>A7*D7</f>
        <v/>
      </c>
      <c r="F7" s="23">
        <f>E7-A7*B7</f>
        <v/>
      </c>
      <c r="G7" s="24">
        <f>IF(D7=0,0,(D7-B7)/D7)</f>
        <v/>
      </c>
      <c r="H7" s="23">
        <f>E7*(1+Supuestos!$B$41)</f>
        <v/>
      </c>
    </row>
    <row r="8">
      <c r="A8" s="19" t="n">
        <v>10000</v>
      </c>
      <c r="B8" s="20">
        <f>Supuestos!$B$66</f>
        <v/>
      </c>
      <c r="C8" s="21">
        <f>B8/(1-Supuestos!$B$40)</f>
        <v/>
      </c>
      <c r="D8" s="22" t="n">
        <v>40</v>
      </c>
      <c r="E8" s="23">
        <f>A8*D8</f>
        <v/>
      </c>
      <c r="F8" s="23">
        <f>E8-A8*B8</f>
        <v/>
      </c>
      <c r="G8" s="24">
        <f>IF(D8=0,0,(D8-B8)/D8)</f>
        <v/>
      </c>
      <c r="H8" s="23">
        <f>E8*(1+Supuestos!$B$41)</f>
        <v/>
      </c>
    </row>
    <row r="9">
      <c r="A9" s="19" t="n">
        <v>20000</v>
      </c>
      <c r="B9" s="20">
        <f>Supuestos!$B$66</f>
        <v/>
      </c>
      <c r="C9" s="21">
        <f>B9/(1-Supuestos!$B$40)</f>
        <v/>
      </c>
      <c r="D9" s="22" t="n">
        <v>35</v>
      </c>
      <c r="E9" s="23">
        <f>A9*D9</f>
        <v/>
      </c>
      <c r="F9" s="23">
        <f>E9-A9*B9</f>
        <v/>
      </c>
      <c r="G9" s="24">
        <f>IF(D9=0,0,(D9-B9)/D9)</f>
        <v/>
      </c>
      <c r="H9" s="23">
        <f>E9*(1+Supuestos!$B$41)</f>
        <v/>
      </c>
    </row>
    <row r="10">
      <c r="A10" s="19" t="n">
        <v>50000</v>
      </c>
      <c r="B10" s="20">
        <f>Supuestos!$B$66</f>
        <v/>
      </c>
      <c r="C10" s="21">
        <f>B10/(1-Supuestos!$B$40)</f>
        <v/>
      </c>
      <c r="D10" s="22" t="n">
        <v>28</v>
      </c>
      <c r="E10" s="23">
        <f>A10*D10</f>
        <v/>
      </c>
      <c r="F10" s="23">
        <f>E10-A10*B10</f>
        <v/>
      </c>
      <c r="G10" s="24">
        <f>IF(D10=0,0,(D10-B10)/D10)</f>
        <v/>
      </c>
      <c r="H10" s="23">
        <f>E10*(1+Supuestos!$B$41)</f>
        <v/>
      </c>
    </row>
    <row r="11">
      <c r="A11" s="19" t="n">
        <v>100000</v>
      </c>
      <c r="B11" s="20">
        <f>Supuestos!$B$66</f>
        <v/>
      </c>
      <c r="C11" s="21">
        <f>B11/(1-Supuestos!$B$40)</f>
        <v/>
      </c>
      <c r="D11" s="22" t="n">
        <v>22</v>
      </c>
      <c r="E11" s="23">
        <f>A11*D11</f>
        <v/>
      </c>
      <c r="F11" s="23">
        <f>E11-A11*B11</f>
        <v/>
      </c>
      <c r="G11" s="24">
        <f>IF(D11=0,0,(D11-B11)/D11)</f>
        <v/>
      </c>
      <c r="H11" s="23">
        <f>E11*(1+Supuestos!$B$41)</f>
        <v/>
      </c>
    </row>
    <row r="12">
      <c r="A12" s="19" t="n">
        <v>200000</v>
      </c>
      <c r="B12" s="20">
        <f>Supuestos!$B$66</f>
        <v/>
      </c>
      <c r="C12" s="21">
        <f>B12/(1-Supuestos!$B$40)</f>
        <v/>
      </c>
      <c r="D12" s="22" t="n">
        <v>18</v>
      </c>
      <c r="E12" s="23">
        <f>A12*D12</f>
        <v/>
      </c>
      <c r="F12" s="23">
        <f>E12-A12*B12</f>
        <v/>
      </c>
      <c r="G12" s="24">
        <f>IF(D12=0,0,(D12-B12)/D12)</f>
        <v/>
      </c>
      <c r="H12" s="23">
        <f>E12*(1+Supuestos!$B$41)</f>
        <v/>
      </c>
    </row>
    <row r="13">
      <c r="A13" s="19" t="n">
        <v>500000</v>
      </c>
      <c r="B13" s="20">
        <f>Supuestos!$B$66</f>
        <v/>
      </c>
      <c r="C13" s="21">
        <f>B13/(1-Supuestos!$B$40)</f>
        <v/>
      </c>
      <c r="D13" s="22" t="n">
        <v>14</v>
      </c>
      <c r="E13" s="23">
        <f>A13*D13</f>
        <v/>
      </c>
      <c r="F13" s="23">
        <f>E13-A13*B13</f>
        <v/>
      </c>
      <c r="G13" s="24">
        <f>IF(D13=0,0,(D13-B13)/D13)</f>
        <v/>
      </c>
      <c r="H13" s="23">
        <f>E13*(1+Supuestos!$B$41)</f>
        <v/>
      </c>
    </row>
    <row r="14">
      <c r="A14" s="19" t="n">
        <v>1000000</v>
      </c>
      <c r="B14" s="20">
        <f>Supuestos!$B$66</f>
        <v/>
      </c>
      <c r="C14" s="21">
        <f>B14/(1-Supuestos!$B$40)</f>
        <v/>
      </c>
      <c r="D14" s="22" t="n">
        <v>10</v>
      </c>
      <c r="E14" s="23">
        <f>A14*D14</f>
        <v/>
      </c>
      <c r="F14" s="23">
        <f>E14-A14*B14</f>
        <v/>
      </c>
      <c r="G14" s="24">
        <f>IF(D14=0,0,(D14-B14)/D14)</f>
        <v/>
      </c>
      <c r="H14" s="23">
        <f>E14*(1+Supuestos!$B$41)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75BE"/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5" customWidth="1" min="5" max="5"/>
    <col width="15" customWidth="1" min="6" max="6"/>
    <col width="10" customWidth="1" min="7" max="7"/>
    <col width="16" customWidth="1" min="8" max="8"/>
  </cols>
  <sheetData>
    <row r="1">
      <c r="A1" s="1" t="inlineStr">
        <is>
          <t>WhatsApp — WhatsApp (plantilla marketing, Meta)</t>
        </is>
      </c>
    </row>
    <row r="2">
      <c r="A2" s="3" t="inlineStr">
        <is>
          <t>Solo COSTO DE ENVÍO (variable), SIN costos fijos (ver hoja 'Resumen'). Margen = Ingreso − costo de envío = margen de contribución. Si 'Precio lista' ≥ 'Precio mín.', llegás al margen objetivo. 'Precio lista' (azul) es editable por tramo.</t>
        </is>
      </c>
    </row>
    <row r="4" ht="32" customHeight="1">
      <c r="A4" s="18" t="inlineStr">
        <is>
          <t>Volumen mensual (mensajes)</t>
        </is>
      </c>
      <c r="B4" s="18" t="inlineStr">
        <is>
          <t>Costo de envío unit. (COP)</t>
        </is>
      </c>
      <c r="C4" s="18" t="inlineStr">
        <is>
          <t>Precio mín. ≥margen (COP)</t>
        </is>
      </c>
      <c r="D4" s="18" t="inlineStr">
        <is>
          <t>Precio lista (COP)</t>
        </is>
      </c>
      <c r="E4" s="18" t="inlineStr">
        <is>
          <t>Ingreso (COP)</t>
        </is>
      </c>
      <c r="F4" s="18" t="inlineStr">
        <is>
          <t>Margen (COP)</t>
        </is>
      </c>
      <c r="G4" s="18" t="inlineStr">
        <is>
          <t>% Margen</t>
        </is>
      </c>
      <c r="H4" s="18" t="inlineStr">
        <is>
          <t>Total + IVA (COP)</t>
        </is>
      </c>
    </row>
    <row r="5">
      <c r="A5" s="19" t="n">
        <v>1000</v>
      </c>
      <c r="B5" s="20">
        <f>Supuestos!$B$67</f>
        <v/>
      </c>
      <c r="C5" s="21">
        <f>B5/(1-Supuestos!$B$40)</f>
        <v/>
      </c>
      <c r="D5" s="22" t="n">
        <v>130</v>
      </c>
      <c r="E5" s="23">
        <f>A5*D5</f>
        <v/>
      </c>
      <c r="F5" s="23">
        <f>E5-A5*B5</f>
        <v/>
      </c>
      <c r="G5" s="24">
        <f>IF(D5=0,0,(D5-B5)/D5)</f>
        <v/>
      </c>
      <c r="H5" s="23">
        <f>E5*(1+Supuestos!$B$41)</f>
        <v/>
      </c>
    </row>
    <row r="6">
      <c r="A6" s="19" t="n">
        <v>2000</v>
      </c>
      <c r="B6" s="20">
        <f>Supuestos!$B$67</f>
        <v/>
      </c>
      <c r="C6" s="21">
        <f>B6/(1-Supuestos!$B$40)</f>
        <v/>
      </c>
      <c r="D6" s="22" t="n">
        <v>125</v>
      </c>
      <c r="E6" s="23">
        <f>A6*D6</f>
        <v/>
      </c>
      <c r="F6" s="23">
        <f>E6-A6*B6</f>
        <v/>
      </c>
      <c r="G6" s="24">
        <f>IF(D6=0,0,(D6-B6)/D6)</f>
        <v/>
      </c>
      <c r="H6" s="23">
        <f>E6*(1+Supuestos!$B$41)</f>
        <v/>
      </c>
    </row>
    <row r="7">
      <c r="A7" s="19" t="n">
        <v>5000</v>
      </c>
      <c r="B7" s="20">
        <f>Supuestos!$B$67</f>
        <v/>
      </c>
      <c r="C7" s="21">
        <f>B7/(1-Supuestos!$B$40)</f>
        <v/>
      </c>
      <c r="D7" s="22" t="n">
        <v>118</v>
      </c>
      <c r="E7" s="23">
        <f>A7*D7</f>
        <v/>
      </c>
      <c r="F7" s="23">
        <f>E7-A7*B7</f>
        <v/>
      </c>
      <c r="G7" s="24">
        <f>IF(D7=0,0,(D7-B7)/D7)</f>
        <v/>
      </c>
      <c r="H7" s="23">
        <f>E7*(1+Supuestos!$B$41)</f>
        <v/>
      </c>
    </row>
    <row r="8">
      <c r="A8" s="19" t="n">
        <v>10000</v>
      </c>
      <c r="B8" s="20">
        <f>Supuestos!$B$67</f>
        <v/>
      </c>
      <c r="C8" s="21">
        <f>B8/(1-Supuestos!$B$40)</f>
        <v/>
      </c>
      <c r="D8" s="22" t="n">
        <v>110</v>
      </c>
      <c r="E8" s="23">
        <f>A8*D8</f>
        <v/>
      </c>
      <c r="F8" s="23">
        <f>E8-A8*B8</f>
        <v/>
      </c>
      <c r="G8" s="24">
        <f>IF(D8=0,0,(D8-B8)/D8)</f>
        <v/>
      </c>
      <c r="H8" s="23">
        <f>E8*(1+Supuestos!$B$41)</f>
        <v/>
      </c>
    </row>
    <row r="9">
      <c r="A9" s="19" t="n">
        <v>20000</v>
      </c>
      <c r="B9" s="20">
        <f>Supuestos!$B$67</f>
        <v/>
      </c>
      <c r="C9" s="21">
        <f>B9/(1-Supuestos!$B$40)</f>
        <v/>
      </c>
      <c r="D9" s="22" t="n">
        <v>100</v>
      </c>
      <c r="E9" s="23">
        <f>A9*D9</f>
        <v/>
      </c>
      <c r="F9" s="23">
        <f>E9-A9*B9</f>
        <v/>
      </c>
      <c r="G9" s="24">
        <f>IF(D9=0,0,(D9-B9)/D9)</f>
        <v/>
      </c>
      <c r="H9" s="23">
        <f>E9*(1+Supuestos!$B$41)</f>
        <v/>
      </c>
    </row>
    <row r="10">
      <c r="A10" s="19" t="n">
        <v>50000</v>
      </c>
      <c r="B10" s="20">
        <f>Supuestos!$B$67</f>
        <v/>
      </c>
      <c r="C10" s="21">
        <f>B10/(1-Supuestos!$B$40)</f>
        <v/>
      </c>
      <c r="D10" s="22" t="n">
        <v>90</v>
      </c>
      <c r="E10" s="23">
        <f>A10*D10</f>
        <v/>
      </c>
      <c r="F10" s="23">
        <f>E10-A10*B10</f>
        <v/>
      </c>
      <c r="G10" s="24">
        <f>IF(D10=0,0,(D10-B10)/D10)</f>
        <v/>
      </c>
      <c r="H10" s="23">
        <f>E10*(1+Supuestos!$B$41)</f>
        <v/>
      </c>
    </row>
    <row r="11">
      <c r="A11" s="19" t="n">
        <v>100000</v>
      </c>
      <c r="B11" s="20">
        <f>Supuestos!$B$67</f>
        <v/>
      </c>
      <c r="C11" s="21">
        <f>B11/(1-Supuestos!$B$40)</f>
        <v/>
      </c>
      <c r="D11" s="22" t="n">
        <v>82</v>
      </c>
      <c r="E11" s="23">
        <f>A11*D11</f>
        <v/>
      </c>
      <c r="F11" s="23">
        <f>E11-A11*B11</f>
        <v/>
      </c>
      <c r="G11" s="24">
        <f>IF(D11=0,0,(D11-B11)/D11)</f>
        <v/>
      </c>
      <c r="H11" s="23">
        <f>E11*(1+Supuestos!$B$41)</f>
        <v/>
      </c>
    </row>
    <row r="12">
      <c r="A12" s="19" t="n">
        <v>200000</v>
      </c>
      <c r="B12" s="20">
        <f>Supuestos!$B$67</f>
        <v/>
      </c>
      <c r="C12" s="21">
        <f>B12/(1-Supuestos!$B$40)</f>
        <v/>
      </c>
      <c r="D12" s="22" t="n">
        <v>76</v>
      </c>
      <c r="E12" s="23">
        <f>A12*D12</f>
        <v/>
      </c>
      <c r="F12" s="23">
        <f>E12-A12*B12</f>
        <v/>
      </c>
      <c r="G12" s="24">
        <f>IF(D12=0,0,(D12-B12)/D12)</f>
        <v/>
      </c>
      <c r="H12" s="23">
        <f>E12*(1+Supuestos!$B$41)</f>
        <v/>
      </c>
    </row>
    <row r="13">
      <c r="A13" s="19" t="n">
        <v>500000</v>
      </c>
      <c r="B13" s="20">
        <f>Supuestos!$B$67</f>
        <v/>
      </c>
      <c r="C13" s="21">
        <f>B13/(1-Supuestos!$B$40)</f>
        <v/>
      </c>
      <c r="D13" s="22" t="n">
        <v>70</v>
      </c>
      <c r="E13" s="23">
        <f>A13*D13</f>
        <v/>
      </c>
      <c r="F13" s="23">
        <f>E13-A13*B13</f>
        <v/>
      </c>
      <c r="G13" s="24">
        <f>IF(D13=0,0,(D13-B13)/D13)</f>
        <v/>
      </c>
      <c r="H13" s="23">
        <f>E13*(1+Supuestos!$B$41)</f>
        <v/>
      </c>
    </row>
    <row r="14">
      <c r="A14" s="19" t="n">
        <v>1000000</v>
      </c>
      <c r="B14" s="20">
        <f>Supuestos!$B$67</f>
        <v/>
      </c>
      <c r="C14" s="21">
        <f>B14/(1-Supuestos!$B$40)</f>
        <v/>
      </c>
      <c r="D14" s="22" t="n">
        <v>65</v>
      </c>
      <c r="E14" s="23">
        <f>A14*D14</f>
        <v/>
      </c>
      <c r="F14" s="23">
        <f>E14-A14*B14</f>
        <v/>
      </c>
      <c r="G14" s="24">
        <f>IF(D14=0,0,(D14-B14)/D14)</f>
        <v/>
      </c>
      <c r="H14" s="23">
        <f>E14*(1+Supuestos!$B$41)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9D2E"/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5" customWidth="1" min="5" max="5"/>
    <col width="15" customWidth="1" min="6" max="6"/>
    <col width="10" customWidth="1" min="7" max="7"/>
    <col width="16" customWidth="1" min="8" max="8"/>
  </cols>
  <sheetData>
    <row r="1">
      <c r="A1" s="1" t="inlineStr">
        <is>
          <t>Voz — Voz — TTS (por minuto)</t>
        </is>
      </c>
    </row>
    <row r="2">
      <c r="A2" s="3" t="inlineStr">
        <is>
          <t>Solo COSTO DE ENVÍO (variable), SIN costos fijos (ver hoja 'Resumen'). Margen = Ingreso − costo de envío = margen de contribución. Si 'Precio lista' ≥ 'Precio mín.', llegás al margen objetivo. 'Precio lista' (azul) es editable por tramo.</t>
        </is>
      </c>
    </row>
    <row r="4" ht="32" customHeight="1">
      <c r="A4" s="18" t="inlineStr">
        <is>
          <t>Volumen mensual (minutos)</t>
        </is>
      </c>
      <c r="B4" s="18" t="inlineStr">
        <is>
          <t>Costo de envío unit. (COP)</t>
        </is>
      </c>
      <c r="C4" s="18" t="inlineStr">
        <is>
          <t>Precio mín. ≥margen (COP)</t>
        </is>
      </c>
      <c r="D4" s="18" t="inlineStr">
        <is>
          <t>Precio lista (COP)</t>
        </is>
      </c>
      <c r="E4" s="18" t="inlineStr">
        <is>
          <t>Ingreso (COP)</t>
        </is>
      </c>
      <c r="F4" s="18" t="inlineStr">
        <is>
          <t>Margen (COP)</t>
        </is>
      </c>
      <c r="G4" s="18" t="inlineStr">
        <is>
          <t>% Margen</t>
        </is>
      </c>
      <c r="H4" s="18" t="inlineStr">
        <is>
          <t>Total + IVA (COP)</t>
        </is>
      </c>
    </row>
    <row r="5">
      <c r="A5" s="19" t="n">
        <v>1000</v>
      </c>
      <c r="B5" s="20">
        <f>Supuestos!$B$68</f>
        <v/>
      </c>
      <c r="C5" s="21">
        <f>B5/(1-Supuestos!$B$40)</f>
        <v/>
      </c>
      <c r="D5" s="22" t="n">
        <v>150</v>
      </c>
      <c r="E5" s="23">
        <f>A5*D5</f>
        <v/>
      </c>
      <c r="F5" s="23">
        <f>E5-A5*B5</f>
        <v/>
      </c>
      <c r="G5" s="24">
        <f>IF(D5=0,0,(D5-B5)/D5)</f>
        <v/>
      </c>
      <c r="H5" s="23">
        <f>E5*(1+Supuestos!$B$41)</f>
        <v/>
      </c>
    </row>
    <row r="6">
      <c r="A6" s="19" t="n">
        <v>2000</v>
      </c>
      <c r="B6" s="20">
        <f>Supuestos!$B$68</f>
        <v/>
      </c>
      <c r="C6" s="21">
        <f>B6/(1-Supuestos!$B$40)</f>
        <v/>
      </c>
      <c r="D6" s="22" t="n">
        <v>140</v>
      </c>
      <c r="E6" s="23">
        <f>A6*D6</f>
        <v/>
      </c>
      <c r="F6" s="23">
        <f>E6-A6*B6</f>
        <v/>
      </c>
      <c r="G6" s="24">
        <f>IF(D6=0,0,(D6-B6)/D6)</f>
        <v/>
      </c>
      <c r="H6" s="23">
        <f>E6*(1+Supuestos!$B$41)</f>
        <v/>
      </c>
    </row>
    <row r="7">
      <c r="A7" s="19" t="n">
        <v>5000</v>
      </c>
      <c r="B7" s="20">
        <f>Supuestos!$B$68</f>
        <v/>
      </c>
      <c r="C7" s="21">
        <f>B7/(1-Supuestos!$B$40)</f>
        <v/>
      </c>
      <c r="D7" s="22" t="n">
        <v>130</v>
      </c>
      <c r="E7" s="23">
        <f>A7*D7</f>
        <v/>
      </c>
      <c r="F7" s="23">
        <f>E7-A7*B7</f>
        <v/>
      </c>
      <c r="G7" s="24">
        <f>IF(D7=0,0,(D7-B7)/D7)</f>
        <v/>
      </c>
      <c r="H7" s="23">
        <f>E7*(1+Supuestos!$B$41)</f>
        <v/>
      </c>
    </row>
    <row r="8">
      <c r="A8" s="19" t="n">
        <v>10000</v>
      </c>
      <c r="B8" s="20">
        <f>Supuestos!$B$68</f>
        <v/>
      </c>
      <c r="C8" s="21">
        <f>B8/(1-Supuestos!$B$40)</f>
        <v/>
      </c>
      <c r="D8" s="22" t="n">
        <v>120</v>
      </c>
      <c r="E8" s="23">
        <f>A8*D8</f>
        <v/>
      </c>
      <c r="F8" s="23">
        <f>E8-A8*B8</f>
        <v/>
      </c>
      <c r="G8" s="24">
        <f>IF(D8=0,0,(D8-B8)/D8)</f>
        <v/>
      </c>
      <c r="H8" s="23">
        <f>E8*(1+Supuestos!$B$41)</f>
        <v/>
      </c>
    </row>
    <row r="9">
      <c r="A9" s="19" t="n">
        <v>20000</v>
      </c>
      <c r="B9" s="20">
        <f>Supuestos!$B$68</f>
        <v/>
      </c>
      <c r="C9" s="21">
        <f>B9/(1-Supuestos!$B$40)</f>
        <v/>
      </c>
      <c r="D9" s="22" t="n">
        <v>110</v>
      </c>
      <c r="E9" s="23">
        <f>A9*D9</f>
        <v/>
      </c>
      <c r="F9" s="23">
        <f>E9-A9*B9</f>
        <v/>
      </c>
      <c r="G9" s="24">
        <f>IF(D9=0,0,(D9-B9)/D9)</f>
        <v/>
      </c>
      <c r="H9" s="23">
        <f>E9*(1+Supuestos!$B$41)</f>
        <v/>
      </c>
    </row>
    <row r="10">
      <c r="A10" s="19" t="n">
        <v>50000</v>
      </c>
      <c r="B10" s="20">
        <f>Supuestos!$B$68</f>
        <v/>
      </c>
      <c r="C10" s="21">
        <f>B10/(1-Supuestos!$B$40)</f>
        <v/>
      </c>
      <c r="D10" s="22" t="n">
        <v>95</v>
      </c>
      <c r="E10" s="23">
        <f>A10*D10</f>
        <v/>
      </c>
      <c r="F10" s="23">
        <f>E10-A10*B10</f>
        <v/>
      </c>
      <c r="G10" s="24">
        <f>IF(D10=0,0,(D10-B10)/D10)</f>
        <v/>
      </c>
      <c r="H10" s="23">
        <f>E10*(1+Supuestos!$B$41)</f>
        <v/>
      </c>
    </row>
    <row r="11">
      <c r="A11" s="19" t="n">
        <v>100000</v>
      </c>
      <c r="B11" s="20">
        <f>Supuestos!$B$68</f>
        <v/>
      </c>
      <c r="C11" s="21">
        <f>B11/(1-Supuestos!$B$40)</f>
        <v/>
      </c>
      <c r="D11" s="22" t="n">
        <v>80</v>
      </c>
      <c r="E11" s="23">
        <f>A11*D11</f>
        <v/>
      </c>
      <c r="F11" s="23">
        <f>E11-A11*B11</f>
        <v/>
      </c>
      <c r="G11" s="24">
        <f>IF(D11=0,0,(D11-B11)/D11)</f>
        <v/>
      </c>
      <c r="H11" s="23">
        <f>E11*(1+Supuestos!$B$41)</f>
        <v/>
      </c>
    </row>
    <row r="12">
      <c r="A12" s="19" t="n">
        <v>200000</v>
      </c>
      <c r="B12" s="20">
        <f>Supuestos!$B$68</f>
        <v/>
      </c>
      <c r="C12" s="21">
        <f>B12/(1-Supuestos!$B$40)</f>
        <v/>
      </c>
      <c r="D12" s="22" t="n">
        <v>70</v>
      </c>
      <c r="E12" s="23">
        <f>A12*D12</f>
        <v/>
      </c>
      <c r="F12" s="23">
        <f>E12-A12*B12</f>
        <v/>
      </c>
      <c r="G12" s="24">
        <f>IF(D12=0,0,(D12-B12)/D12)</f>
        <v/>
      </c>
      <c r="H12" s="23">
        <f>E12*(1+Supuestos!$B$41)</f>
        <v/>
      </c>
    </row>
    <row r="13">
      <c r="A13" s="19" t="n">
        <v>500000</v>
      </c>
      <c r="B13" s="20">
        <f>Supuestos!$B$68</f>
        <v/>
      </c>
      <c r="C13" s="21">
        <f>B13/(1-Supuestos!$B$40)</f>
        <v/>
      </c>
      <c r="D13" s="22" t="n">
        <v>60</v>
      </c>
      <c r="E13" s="23">
        <f>A13*D13</f>
        <v/>
      </c>
      <c r="F13" s="23">
        <f>E13-A13*B13</f>
        <v/>
      </c>
      <c r="G13" s="24">
        <f>IF(D13=0,0,(D13-B13)/D13)</f>
        <v/>
      </c>
      <c r="H13" s="23">
        <f>E13*(1+Supuestos!$B$41)</f>
        <v/>
      </c>
    </row>
    <row r="14">
      <c r="A14" s="19" t="n">
        <v>1000000</v>
      </c>
      <c r="B14" s="20">
        <f>Supuestos!$B$68</f>
        <v/>
      </c>
      <c r="C14" s="21">
        <f>B14/(1-Supuestos!$B$40)</f>
        <v/>
      </c>
      <c r="D14" s="22" t="n">
        <v>48</v>
      </c>
      <c r="E14" s="23">
        <f>A14*D14</f>
        <v/>
      </c>
      <c r="F14" s="23">
        <f>E14-A14*B14</f>
        <v/>
      </c>
      <c r="G14" s="24">
        <f>IF(D14=0,0,(D14-B14)/D14)</f>
        <v/>
      </c>
      <c r="H14" s="23">
        <f>E14*(1+Supuestos!$B$41)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C3FF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6" customWidth="1" min="3" max="3"/>
  </cols>
  <sheetData>
    <row r="1">
      <c r="A1" s="1" t="inlineStr">
        <is>
          <t>Cotizador rápido</t>
        </is>
      </c>
    </row>
    <row r="2">
      <c r="A2" s="3" t="inlineStr">
        <is>
          <t>Editá las celdas azules. Muestra el COSTO DE ENVÍO y el margen (sin fijos).</t>
        </is>
      </c>
    </row>
    <row r="4">
      <c r="A4" s="4" t="inlineStr">
        <is>
          <t>ENTRADAS</t>
        </is>
      </c>
    </row>
    <row r="5">
      <c r="A5" s="2" t="inlineStr">
        <is>
          <t>Canal</t>
        </is>
      </c>
      <c r="B5" s="25" t="inlineStr">
        <is>
          <t>EM</t>
        </is>
      </c>
      <c r="C5" s="3" t="inlineStr">
        <is>
          <t>EM/EAU/EAP/SMS/WhatsApp/Voz</t>
        </is>
      </c>
    </row>
    <row r="6">
      <c r="A6" s="2" t="inlineStr">
        <is>
          <t>Cantidad de envíos</t>
        </is>
      </c>
      <c r="B6" s="25" t="n">
        <v>50000</v>
      </c>
      <c r="C6" s="3" t="inlineStr">
        <is>
          <t>correos/SMS/mensajes/minutos</t>
        </is>
      </c>
    </row>
    <row r="7">
      <c r="A7" s="2" t="inlineStr">
        <is>
          <t>MB de adjunto (EAU/EAP)</t>
        </is>
      </c>
      <c r="B7" s="25" t="n">
        <v>2</v>
      </c>
    </row>
    <row r="8">
      <c r="A8" s="2" t="inlineStr">
        <is>
          <t>Segmentos por SMS</t>
        </is>
      </c>
      <c r="B8" s="25" t="n">
        <v>1</v>
      </c>
    </row>
    <row r="9">
      <c r="A9" s="2" t="inlineStr">
        <is>
          <t>Precio unit. a cobrar (COP)</t>
        </is>
      </c>
      <c r="B9" s="25" t="n">
        <v>6</v>
      </c>
      <c r="C9" s="3" t="inlineStr">
        <is>
          <t>tu precio; comparalo con el mínimo de abajo</t>
        </is>
      </c>
    </row>
    <row r="10">
      <c r="A10" s="2" t="inlineStr">
        <is>
          <t>¿Recarga por Wompi?</t>
        </is>
      </c>
      <c r="B10" s="25" t="inlineStr">
        <is>
          <t>Sí</t>
        </is>
      </c>
      <c r="C10" s="3" t="inlineStr">
        <is>
          <t>Sí/No</t>
        </is>
      </c>
    </row>
    <row r="12">
      <c r="A12" s="4" t="inlineStr">
        <is>
          <t>RESULTADO</t>
        </is>
      </c>
    </row>
    <row r="13">
      <c r="A13" s="2" t="inlineStr">
        <is>
          <t>Costo de envío unit. (USD)</t>
        </is>
      </c>
      <c r="B13" s="16">
        <f>IF(B5="EM",Supuestos!$B$53,IF(B5="EAU",Supuestos!$B$53+B7*Supuestos!$B$11,IF(B5="EAP",Supuestos!$B$53+B7*Supuestos!$B$11,IF(B5="SMS",Supuestos!$B$54+B8*Supuestos!$B$22,IF(B5="WhatsApp",Supuestos!$B$54+Supuestos!$B$23,IF(B5="Voz",Supuestos!$B$54+Supuestos!$B$24,0))))))</f>
        <v/>
      </c>
    </row>
    <row r="14">
      <c r="A14" s="2" t="inlineStr">
        <is>
          <t>Costo de envío unit. (COP)</t>
        </is>
      </c>
      <c r="B14" s="17">
        <f>B13*Supuestos!$B$7</f>
        <v/>
      </c>
    </row>
    <row r="15">
      <c r="A15" s="2" t="inlineStr">
        <is>
          <t>Costo total de envío (COP)</t>
        </is>
      </c>
      <c r="B15" s="9">
        <f>B6*B14</f>
        <v/>
      </c>
    </row>
    <row r="16">
      <c r="A16" s="2" t="inlineStr">
        <is>
          <t>Precio unit. mínimo (≥ margen) (COP)</t>
        </is>
      </c>
      <c r="B16" s="17">
        <f>B14/(1-Supuestos!$B$40)</f>
        <v/>
      </c>
      <c r="C16" s="3" t="inlineStr">
        <is>
          <t>por debajo no llegás al margen objetivo</t>
        </is>
      </c>
    </row>
    <row r="17">
      <c r="A17" s="2" t="inlineStr">
        <is>
          <t>Ingreso (sin IVA) (COP)</t>
        </is>
      </c>
      <c r="B17" s="9">
        <f>B6*B9</f>
        <v/>
      </c>
    </row>
    <row r="18">
      <c r="A18" s="2" t="inlineStr">
        <is>
          <t>Margen de contribución (COP)</t>
        </is>
      </c>
      <c r="B18" s="9">
        <f>B17-B15</f>
        <v/>
      </c>
      <c r="C18" s="3" t="inlineStr">
        <is>
          <t>ingreso − costo de envío</t>
        </is>
      </c>
    </row>
    <row r="19">
      <c r="A19" s="2" t="inlineStr">
        <is>
          <t>% Margen</t>
        </is>
      </c>
      <c r="B19" s="26">
        <f>IF(B17=0,0,B18/B17)</f>
        <v/>
      </c>
    </row>
    <row r="20">
      <c r="A20" s="2" t="inlineStr">
        <is>
          <t>Total a cobrar (con IVA) (COP)</t>
        </is>
      </c>
      <c r="B20" s="9">
        <f>B17*(1+Supuestos!$B$41)</f>
        <v/>
      </c>
    </row>
    <row r="21">
      <c r="A21" s="2" t="inlineStr">
        <is>
          <t>Comisión Wompi (si aplica) (COP)</t>
        </is>
      </c>
      <c r="B21" s="9">
        <f>IF(B10="Sí",B20*Supuestos!$B$42+Supuestos!$B$43,0)</f>
        <v/>
      </c>
    </row>
    <row r="22">
      <c r="A22" s="2" t="inlineStr">
        <is>
          <t>Margen tras comisión Wompi (COP)</t>
        </is>
      </c>
      <c r="B22" s="27">
        <f>B18-B21</f>
        <v/>
      </c>
    </row>
  </sheetData>
  <dataValidations count="2">
    <dataValidation sqref="B5" showDropDown="0" showInputMessage="0" showErrorMessage="0" allowBlank="0" type="list">
      <formula1>"EM,EAU,EAP,SMS,WhatsApp,Voz"</formula1>
    </dataValidation>
    <dataValidation sqref="B10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9D2E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22" customWidth="1" min="4" max="4"/>
    <col width="12" customWidth="1" min="5" max="5"/>
  </cols>
  <sheetData>
    <row r="1">
      <c r="A1" s="1" t="inlineStr">
        <is>
          <t>¿Adjuntar el archivo o mandarlo como enlace (URL)?</t>
        </is>
      </c>
    </row>
    <row r="2">
      <c r="A2" s="3" t="inlineStr">
        <is>
          <t>Adjuntar (modo ONFILE): SES cobra US$0.12/GB a CADA destinatario. Enlace (modo ONLINE): S3 cobra US$0.09/GB SOLO a quien descarga, y el archivo se guarda una vez. → El enlace casi siempre es MÁS BARATO.</t>
        </is>
      </c>
    </row>
    <row r="4">
      <c r="A4" s="2" t="inlineStr">
        <is>
          <t>MB del archivo</t>
        </is>
      </c>
      <c r="B4" s="28" t="n">
        <v>2</v>
      </c>
    </row>
    <row r="5">
      <c r="A5" s="2" t="inlineStr">
        <is>
          <t>Destinatarios</t>
        </is>
      </c>
      <c r="B5" s="28" t="n">
        <v>100000</v>
      </c>
    </row>
    <row r="7" ht="30" customHeight="1">
      <c r="A7" s="18" t="inlineStr">
        <is>
          <t>% que descarga</t>
        </is>
      </c>
      <c r="B7" s="18" t="inlineStr">
        <is>
          <t>Costo ADJUNTO (SES) (COP)</t>
        </is>
      </c>
      <c r="C7" s="18" t="inlineStr">
        <is>
          <t>Costo URL (S3) (COP)</t>
        </is>
      </c>
      <c r="D7" s="18" t="inlineStr">
        <is>
          <t>Ahorro con URL (COP)</t>
        </is>
      </c>
      <c r="E7" s="18" t="inlineStr">
        <is>
          <t>Ahorro %</t>
        </is>
      </c>
    </row>
    <row r="8">
      <c r="A8" s="29" t="n">
        <v>0.2</v>
      </c>
      <c r="B8" s="23">
        <f>$B$5*$B$4*Supuestos!$B$11*Supuestos!$B$7</f>
        <v/>
      </c>
      <c r="C8" s="23">
        <f>$B$5*A8*$B$4*(Supuestos!$B$17/1024)*Supuestos!$B$7</f>
        <v/>
      </c>
      <c r="D8" s="23">
        <f>B8-C8</f>
        <v/>
      </c>
      <c r="E8" s="24">
        <f>IF(B8=0,0,(B8-C8)/B8)</f>
        <v/>
      </c>
    </row>
    <row r="9">
      <c r="A9" s="29" t="n">
        <v>0.5</v>
      </c>
      <c r="B9" s="23">
        <f>$B$5*$B$4*Supuestos!$B$11*Supuestos!$B$7</f>
        <v/>
      </c>
      <c r="C9" s="23">
        <f>$B$5*A9*$B$4*(Supuestos!$B$17/1024)*Supuestos!$B$7</f>
        <v/>
      </c>
      <c r="D9" s="23">
        <f>B9-C9</f>
        <v/>
      </c>
      <c r="E9" s="24">
        <f>IF(B9=0,0,(B9-C9)/B9)</f>
        <v/>
      </c>
    </row>
    <row r="10">
      <c r="A10" s="29" t="n">
        <v>1</v>
      </c>
      <c r="B10" s="23">
        <f>$B$5*$B$4*Supuestos!$B$11*Supuestos!$B$7</f>
        <v/>
      </c>
      <c r="C10" s="23">
        <f>$B$5*A10*$B$4*(Supuestos!$B$17/1024)*Supuestos!$B$7</f>
        <v/>
      </c>
      <c r="D10" s="23">
        <f>B10-C10</f>
        <v/>
      </c>
      <c r="E10" s="24">
        <f>IF(B10=0,0,(B10-C10)/B10)</f>
        <v/>
      </c>
    </row>
    <row r="12">
      <c r="A12" s="3" t="inlineStr">
        <is>
          <t>Además del costo: el enlace mejora la ENTREGABILIDAD (los adjuntos grandes caen en spam) y evita el límite de tamaño de correo. En contra: el archivo público en S3 no sirve para documentos sensibles (ahí usá adjunto o enlace firmado que expira).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BF87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2" customWidth="1" min="4" max="4"/>
    <col width="26" customWidth="1" min="5" max="5"/>
  </cols>
  <sheetData>
    <row r="1">
      <c r="A1" s="1" t="inlineStr">
        <is>
          <t>Resumen: costos fijos y punto de equilibrio</t>
        </is>
      </c>
    </row>
    <row r="2">
      <c r="A2" s="3" t="inlineStr">
        <is>
          <t>Los fijos NO están en las tablas de canal. Son muy bajos y se cubren con poco volumen: el 'punto de equilibrio' es cuántos envíos/mes de ese canal (a la tarifa plana) alcanzan para pagarlos.</t>
        </is>
      </c>
    </row>
    <row r="4">
      <c r="A4" s="2" t="inlineStr">
        <is>
          <t>Total fijos mensuales (COP)</t>
        </is>
      </c>
      <c r="B4" s="30">
        <f>Supuestos!$B$50</f>
        <v/>
      </c>
    </row>
    <row r="6" ht="32" customHeight="1">
      <c r="A6" s="18" t="inlineStr">
        <is>
          <t>Canal</t>
        </is>
      </c>
      <c r="B6" s="18" t="inlineStr">
        <is>
          <t>Costo de envío (COP)</t>
        </is>
      </c>
      <c r="C6" s="18" t="inlineStr">
        <is>
          <t>Tarifa plana actual (COP)</t>
        </is>
      </c>
      <c r="D6" s="18" t="inlineStr">
        <is>
          <t>% Margen a tarifa plana</t>
        </is>
      </c>
      <c r="E6" s="18" t="inlineStr">
        <is>
          <t>Envíos/mes para cubrir fijos</t>
        </is>
      </c>
    </row>
    <row r="7">
      <c r="A7" s="31" t="inlineStr">
        <is>
          <t>EM</t>
        </is>
      </c>
      <c r="B7" s="20">
        <f>Supuestos!$B$63</f>
        <v/>
      </c>
      <c r="C7" s="22" t="n">
        <v>8</v>
      </c>
      <c r="D7" s="24">
        <f>IF(C7=0,0,(C7-B7)/C7)</f>
        <v/>
      </c>
      <c r="E7" s="19">
        <f>IF(C7&lt;=B7,"n/a (precio&lt;costo)",$B$4/(C7-B7))</f>
        <v/>
      </c>
    </row>
    <row r="8">
      <c r="A8" s="31" t="inlineStr">
        <is>
          <t>EAU</t>
        </is>
      </c>
      <c r="B8" s="20">
        <f>Supuestos!$B$64</f>
        <v/>
      </c>
      <c r="C8" s="22" t="n">
        <v>15</v>
      </c>
      <c r="D8" s="24">
        <f>IF(C8=0,0,(C8-B8)/C8)</f>
        <v/>
      </c>
      <c r="E8" s="19">
        <f>IF(C8&lt;=B8,"n/a (precio&lt;costo)",$B$4/(C8-B8))</f>
        <v/>
      </c>
    </row>
    <row r="9">
      <c r="A9" s="31" t="inlineStr">
        <is>
          <t>EAP</t>
        </is>
      </c>
      <c r="B9" s="20">
        <f>Supuestos!$B$65</f>
        <v/>
      </c>
      <c r="C9" s="22" t="n">
        <v>40</v>
      </c>
      <c r="D9" s="24">
        <f>IF(C9=0,0,(C9-B9)/C9)</f>
        <v/>
      </c>
      <c r="E9" s="19">
        <f>IF(C9&lt;=B9,"n/a (precio&lt;costo)",$B$4/(C9-B9))</f>
        <v/>
      </c>
    </row>
    <row r="10">
      <c r="A10" s="31" t="inlineStr">
        <is>
          <t>SMS</t>
        </is>
      </c>
      <c r="B10" s="20">
        <f>Supuestos!$B$66</f>
        <v/>
      </c>
      <c r="C10" s="22" t="n">
        <v>60</v>
      </c>
      <c r="D10" s="24">
        <f>IF(C10=0,0,(C10-B10)/C10)</f>
        <v/>
      </c>
      <c r="E10" s="19">
        <f>IF(C10&lt;=B10,"n/a (precio&lt;costo)",$B$4/(C10-B10))</f>
        <v/>
      </c>
    </row>
    <row r="11">
      <c r="A11" s="31" t="inlineStr">
        <is>
          <t>WhatsApp</t>
        </is>
      </c>
      <c r="B11" s="20">
        <f>Supuestos!$B$67</f>
        <v/>
      </c>
      <c r="C11" s="22" t="n">
        <v>90</v>
      </c>
      <c r="D11" s="24">
        <f>IF(C11=0,0,(C11-B11)/C11)</f>
        <v/>
      </c>
      <c r="E11" s="19">
        <f>IF(C11&lt;=B11,"n/a (precio&lt;costo)",$B$4/(C11-B11))</f>
        <v/>
      </c>
    </row>
    <row r="12">
      <c r="A12" s="31" t="inlineStr">
        <is>
          <t>Voz</t>
        </is>
      </c>
      <c r="B12" s="20">
        <f>Supuestos!$B$68</f>
        <v/>
      </c>
      <c r="C12" s="22" t="n">
        <v>120</v>
      </c>
      <c r="D12" s="24">
        <f>IF(C12=0,0,(C12-B12)/C12)</f>
        <v/>
      </c>
      <c r="E12" s="19">
        <f>IF(C12&lt;=B12,"n/a (precio&lt;costo)",$B$4/(C12-B12))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2026-07-22T01:47:31Z</dcterms:created>
  <dcterms:modified xsi:type="dcterms:W3CDTF">2026-07-22T01:47:31Z</dcterms:modified>
</cp:coreProperties>
</file>