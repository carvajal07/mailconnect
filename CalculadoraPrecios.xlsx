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Repo\ProyectoComunicaciones\Documents\"/>
    </mc:Choice>
  </mc:AlternateContent>
  <xr:revisionPtr revIDLastSave="0" documentId="13_ncr:1_{B830BAEF-BF9A-475C-833C-0B35A63D1FD2}" xr6:coauthVersionLast="47" xr6:coauthVersionMax="47" xr10:uidLastSave="{00000000-0000-0000-0000-000000000000}"/>
  <bookViews>
    <workbookView xWindow="-108" yWindow="-108" windowWidth="23256" windowHeight="12456" activeTab="1" xr2:uid="{D7B79E18-E188-4543-8A81-6FC1F298C5A4}"/>
  </bookViews>
  <sheets>
    <sheet name="EAP" sheetId="1" r:id="rId1"/>
    <sheet name="Hoja1" sheetId="4" r:id="rId2"/>
    <sheet name="EAU" sheetId="2" r:id="rId3"/>
    <sheet name="EM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1" i="1" l="1"/>
  <c r="R11" i="1" s="1"/>
  <c r="F12" i="1"/>
  <c r="F13" i="1"/>
  <c r="F14" i="1"/>
  <c r="F15" i="1"/>
  <c r="F16" i="1"/>
  <c r="F17" i="1"/>
  <c r="F18" i="1"/>
  <c r="F19" i="1"/>
  <c r="F20" i="1"/>
  <c r="F21" i="1"/>
  <c r="F11" i="1"/>
  <c r="L21" i="1" l="1"/>
  <c r="L20" i="1"/>
  <c r="L19" i="1"/>
  <c r="L18" i="1"/>
  <c r="L17" i="1"/>
  <c r="L16" i="1"/>
  <c r="L15" i="1"/>
  <c r="L14" i="1"/>
  <c r="L13" i="1"/>
  <c r="L12" i="1"/>
  <c r="L11" i="1"/>
  <c r="K20" i="1"/>
  <c r="K19" i="1"/>
  <c r="K18" i="1"/>
  <c r="K17" i="1"/>
  <c r="K16" i="1"/>
  <c r="K15" i="1"/>
  <c r="K14" i="1"/>
  <c r="K13" i="1"/>
  <c r="K12" i="1"/>
  <c r="K11" i="1"/>
  <c r="J21" i="1"/>
  <c r="J20" i="1"/>
  <c r="J19" i="1"/>
  <c r="J18" i="1"/>
  <c r="J16" i="1"/>
  <c r="J15" i="1"/>
  <c r="J14" i="1"/>
  <c r="J13" i="1"/>
  <c r="J12" i="1"/>
  <c r="J11" i="1"/>
  <c r="J17" i="1"/>
  <c r="Q21" i="1"/>
  <c r="Q20" i="1"/>
  <c r="Q19" i="1"/>
  <c r="Q18" i="1"/>
  <c r="Q17" i="1"/>
  <c r="Q16" i="1"/>
  <c r="Q15" i="1"/>
  <c r="Q14" i="1"/>
  <c r="Q13" i="1"/>
  <c r="Q12" i="1"/>
  <c r="Q11" i="1"/>
  <c r="I12" i="1"/>
  <c r="P12" i="1" s="1"/>
  <c r="I13" i="1"/>
  <c r="P13" i="1" s="1"/>
  <c r="I14" i="1"/>
  <c r="P14" i="1" s="1"/>
  <c r="I15" i="1"/>
  <c r="P15" i="1" s="1"/>
  <c r="I16" i="1"/>
  <c r="P16" i="1" s="1"/>
  <c r="I17" i="1"/>
  <c r="P17" i="1" s="1"/>
  <c r="I18" i="1"/>
  <c r="P18" i="1" s="1"/>
  <c r="I19" i="1"/>
  <c r="P19" i="1" s="1"/>
  <c r="I20" i="1"/>
  <c r="P20" i="1" s="1"/>
  <c r="I21" i="1"/>
  <c r="P21" i="1" s="1"/>
  <c r="I11" i="1"/>
  <c r="P11" i="1" s="1"/>
  <c r="N20" i="1"/>
  <c r="N19" i="1"/>
  <c r="N18" i="1"/>
  <c r="N17" i="1"/>
  <c r="N16" i="1"/>
  <c r="N15" i="1"/>
  <c r="N14" i="1"/>
  <c r="N13" i="1"/>
  <c r="N12" i="1"/>
  <c r="O21" i="1"/>
  <c r="O20" i="1"/>
  <c r="O19" i="1"/>
  <c r="O18" i="1"/>
  <c r="O17" i="1"/>
  <c r="O16" i="1"/>
  <c r="O15" i="1"/>
  <c r="O14" i="1"/>
  <c r="O13" i="1"/>
  <c r="O12" i="1"/>
  <c r="O11" i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11" i="1"/>
  <c r="H11" i="1" s="1"/>
  <c r="R20" i="1" l="1"/>
  <c r="R15" i="1"/>
  <c r="R16" i="1"/>
  <c r="R13" i="1"/>
  <c r="R14" i="1"/>
  <c r="R18" i="1"/>
  <c r="R17" i="1"/>
  <c r="R19" i="1"/>
  <c r="R12" i="1"/>
  <c r="R21" i="1"/>
  <c r="E12" i="1"/>
  <c r="E13" i="1"/>
  <c r="E14" i="1"/>
  <c r="E15" i="1"/>
  <c r="E16" i="1"/>
  <c r="E17" i="1"/>
  <c r="E18" i="1"/>
  <c r="E19" i="1"/>
  <c r="E20" i="1"/>
  <c r="E21" i="1"/>
  <c r="E11" i="1"/>
</calcChain>
</file>

<file path=xl/sharedStrings.xml><?xml version="1.0" encoding="utf-8"?>
<sst xmlns="http://schemas.openxmlformats.org/spreadsheetml/2006/main" count="55" uniqueCount="45">
  <si>
    <t>Costo unitario</t>
  </si>
  <si>
    <t>Precio und (EAP)</t>
  </si>
  <si>
    <t>Cantidad</t>
  </si>
  <si>
    <t>12</t>
  </si>
  <si>
    <t>Lambda</t>
  </si>
  <si>
    <t>Costo total</t>
  </si>
  <si>
    <t>Cantidad partes</t>
  </si>
  <si>
    <t>Mensajes SQS envios</t>
  </si>
  <si>
    <t>Mensajes SNS estados</t>
  </si>
  <si>
    <t>SES</t>
  </si>
  <si>
    <t>S3</t>
  </si>
  <si>
    <t>Costo total cliente</t>
  </si>
  <si>
    <t>NOTAS</t>
  </si>
  <si>
    <t>Recibimos 3 mensajes SNS por cada envio</t>
  </si>
  <si>
    <t>Service</t>
  </si>
  <si>
    <t>Precio (US)</t>
  </si>
  <si>
    <t>Precio dólar (COP)</t>
  </si>
  <si>
    <t>Adjuntos</t>
  </si>
  <si>
    <t>1MB</t>
  </si>
  <si>
    <t>1 Envio</t>
  </si>
  <si>
    <t>SNS</t>
  </si>
  <si>
    <t>1 Mensaje</t>
  </si>
  <si>
    <t>1GB/mes</t>
  </si>
  <si>
    <t>Lambda prepara data</t>
  </si>
  <si>
    <t>Lambda estados</t>
  </si>
  <si>
    <t>registros</t>
  </si>
  <si>
    <t>Tiempo</t>
  </si>
  <si>
    <t>30 segundos</t>
  </si>
  <si>
    <t>1 Solicitud/30 seg</t>
  </si>
  <si>
    <t>lambda</t>
  </si>
  <si>
    <t>1 Solicitud/200ms</t>
  </si>
  <si>
    <t>Solicitudes lambda</t>
  </si>
  <si>
    <t>Lambda solicitud</t>
  </si>
  <si>
    <t>1 solicitud</t>
  </si>
  <si>
    <t>registros dynamo</t>
  </si>
  <si>
    <t>Almacenamiento dynamo</t>
  </si>
  <si>
    <t>Adjuntos (Hasta 4MB)</t>
  </si>
  <si>
    <t>Cantidad envios</t>
  </si>
  <si>
    <t>Hasta 500</t>
  </si>
  <si>
    <t>Hasta 1000</t>
  </si>
  <si>
    <t>Arriba de 1000</t>
  </si>
  <si>
    <t>Precio envio (Und)</t>
  </si>
  <si>
    <t>80$</t>
  </si>
  <si>
    <t>70$</t>
  </si>
  <si>
    <t>60$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</si>
</sst>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.00"/>
    <numFmt numFmtId="167" formatCode="&quot;$&quot;\ #,##0"/>
    <numFmt numFmtId="168" formatCode="&quot;$&quot;\ #,##0.000"/>
    <numFmt numFmtId="169" formatCode="&quot;$&quot;\ #,##0.000000"/>
    <numFmt numFmtId="170" formatCode="&quot;$&quot;\ #,##0.0000000"/>
    <numFmt numFmtId="171" formatCode="&quot;$&quot;\ #,##0.0000000000"/>
    <numFmt numFmtId="172" formatCode="&quot;$&quot;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0">
    <xf numFmtId="0" fontId="0" fillId="0" borderId="0" xfId="0"/>
    <xf numFmtId="166" fontId="0" fillId="0" borderId="0" xfId="0" applyNumberFormat="1"/>
    <xf numFmtId="165" fontId="0" fillId="0" borderId="0" xfId="1" applyFont="1"/>
    <xf numFmtId="165" fontId="0" fillId="0" borderId="0" xfId="1" applyFont="1" applyAlignment="1">
      <alignment horizontal="right"/>
    </xf>
    <xf numFmtId="164" fontId="0" fillId="0" borderId="0" xfId="1" applyNumberFormat="1" applyFont="1" applyAlignment="1">
      <alignment horizontal="right"/>
    </xf>
    <xf numFmtId="166" fontId="0" fillId="2" borderId="0" xfId="0" applyNumberFormat="1" applyFill="1"/>
    <xf numFmtId="167" fontId="0" fillId="0" borderId="0" xfId="0" applyNumberFormat="1"/>
    <xf numFmtId="167" fontId="0" fillId="2" borderId="0" xfId="0" applyNumberFormat="1" applyFill="1"/>
    <xf numFmtId="0" fontId="0" fillId="0" borderId="0" xfId="0" applyAlignment="1">
      <alignment horizontal="left"/>
    </xf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3" fontId="0" fillId="0" borderId="0" xfId="0" applyNumberFormat="1"/>
    <xf numFmtId="171" fontId="0" fillId="0" borderId="0" xfId="0" applyNumberFormat="1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/>
    <xf numFmtId="0" fontId="3" fillId="0" borderId="1" xfId="0" applyFont="1" applyBorder="1"/>
    <xf numFmtId="172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968A-4A17-4226-8CB3-604CC5B11BC8}">
  <dimension ref="A1:R36"/>
  <sheetViews>
    <sheetView workbookViewId="0">
      <selection activeCell="D11" sqref="D11"/>
    </sheetView>
  </sheetViews>
  <sheetFormatPr baseColWidth="10" defaultColWidth="8.88671875" defaultRowHeight="14.4" x14ac:dyDescent="0.3"/>
  <cols>
    <col min="1" max="2" width="16.44140625" bestFit="1" customWidth="1"/>
    <col min="3" max="3" width="14.109375" bestFit="1" customWidth="1"/>
    <col min="4" max="4" width="15.6640625" bestFit="1" customWidth="1"/>
    <col min="5" max="5" width="17.44140625" customWidth="1"/>
    <col min="6" max="6" width="16.44140625" bestFit="1" customWidth="1"/>
    <col min="7" max="7" width="15" customWidth="1"/>
    <col min="8" max="8" width="19.6640625" bestFit="1" customWidth="1"/>
    <col min="9" max="9" width="21" bestFit="1" customWidth="1"/>
    <col min="10" max="10" width="20.33203125" bestFit="1" customWidth="1"/>
    <col min="11" max="11" width="15.6640625" bestFit="1" customWidth="1"/>
    <col min="12" max="12" width="18.33203125" bestFit="1" customWidth="1"/>
    <col min="13" max="13" width="24" bestFit="1" customWidth="1"/>
    <col min="14" max="14" width="20.33203125" bestFit="1" customWidth="1"/>
    <col min="15" max="15" width="9" bestFit="1" customWidth="1"/>
    <col min="16" max="16" width="8" bestFit="1" customWidth="1"/>
    <col min="17" max="17" width="10.5546875" bestFit="1" customWidth="1"/>
    <col min="18" max="18" width="10.44140625" bestFit="1" customWidth="1"/>
  </cols>
  <sheetData>
    <row r="1" spans="1:18" x14ac:dyDescent="0.3">
      <c r="A1" t="s">
        <v>14</v>
      </c>
      <c r="B1" t="s">
        <v>2</v>
      </c>
      <c r="C1" t="s">
        <v>15</v>
      </c>
      <c r="I1" t="s">
        <v>25</v>
      </c>
      <c r="J1" t="s">
        <v>26</v>
      </c>
    </row>
    <row r="2" spans="1:18" x14ac:dyDescent="0.3">
      <c r="A2" t="s">
        <v>9</v>
      </c>
      <c r="B2" t="s">
        <v>19</v>
      </c>
      <c r="C2" s="10">
        <v>1E-4</v>
      </c>
      <c r="E2" t="s">
        <v>16</v>
      </c>
      <c r="I2" s="12">
        <v>100000</v>
      </c>
      <c r="J2" t="s">
        <v>27</v>
      </c>
    </row>
    <row r="3" spans="1:18" x14ac:dyDescent="0.3">
      <c r="A3" t="s">
        <v>17</v>
      </c>
      <c r="B3" t="s">
        <v>18</v>
      </c>
      <c r="C3" s="10">
        <v>1.17E-4</v>
      </c>
      <c r="E3" s="1">
        <v>4134</v>
      </c>
      <c r="F3" s="1"/>
    </row>
    <row r="4" spans="1:18" x14ac:dyDescent="0.3">
      <c r="A4" t="s">
        <v>20</v>
      </c>
      <c r="B4" t="s">
        <v>21</v>
      </c>
      <c r="C4" s="11">
        <v>7.9999999999999996E-7</v>
      </c>
    </row>
    <row r="5" spans="1:18" x14ac:dyDescent="0.3">
      <c r="A5" t="s">
        <v>10</v>
      </c>
      <c r="B5" t="s">
        <v>22</v>
      </c>
      <c r="C5" s="9">
        <v>2.3E-2</v>
      </c>
    </row>
    <row r="6" spans="1:18" x14ac:dyDescent="0.3">
      <c r="A6" t="s">
        <v>4</v>
      </c>
      <c r="B6" t="s">
        <v>28</v>
      </c>
      <c r="C6" s="11">
        <v>4.885E-4</v>
      </c>
    </row>
    <row r="7" spans="1:18" x14ac:dyDescent="0.3">
      <c r="A7" t="s">
        <v>29</v>
      </c>
      <c r="B7" t="s">
        <v>30</v>
      </c>
      <c r="C7" s="13">
        <v>1.667E-7</v>
      </c>
    </row>
    <row r="8" spans="1:18" x14ac:dyDescent="0.3">
      <c r="A8" t="s">
        <v>32</v>
      </c>
      <c r="B8" t="s">
        <v>33</v>
      </c>
      <c r="C8" s="11">
        <v>1.9999999999999999E-7</v>
      </c>
    </row>
    <row r="10" spans="1:18" x14ac:dyDescent="0.3">
      <c r="A10" t="s">
        <v>2</v>
      </c>
      <c r="B10" t="s">
        <v>1</v>
      </c>
      <c r="C10" t="s">
        <v>0</v>
      </c>
      <c r="D10" t="s">
        <v>1</v>
      </c>
      <c r="E10" t="s">
        <v>11</v>
      </c>
      <c r="F10" t="s">
        <v>34</v>
      </c>
      <c r="G10" t="s">
        <v>6</v>
      </c>
      <c r="H10" t="s">
        <v>7</v>
      </c>
      <c r="I10" t="s">
        <v>8</v>
      </c>
      <c r="J10" t="s">
        <v>23</v>
      </c>
      <c r="K10" t="s">
        <v>24</v>
      </c>
      <c r="L10" t="s">
        <v>31</v>
      </c>
      <c r="M10" t="s">
        <v>35</v>
      </c>
      <c r="N10" t="s">
        <v>36</v>
      </c>
      <c r="O10" t="s">
        <v>9</v>
      </c>
      <c r="P10" t="s">
        <v>20</v>
      </c>
      <c r="Q10" t="s">
        <v>10</v>
      </c>
      <c r="R10" t="s">
        <v>5</v>
      </c>
    </row>
    <row r="11" spans="1:18" x14ac:dyDescent="0.3">
      <c r="A11">
        <v>1000</v>
      </c>
      <c r="B11" s="2"/>
      <c r="D11" s="7">
        <v>40</v>
      </c>
      <c r="E11" s="6">
        <f>A11*D11</f>
        <v>40000</v>
      </c>
      <c r="F11" s="14">
        <f>G11+H11+I11+A11</f>
        <v>6008</v>
      </c>
      <c r="G11">
        <f>A11/250</f>
        <v>4</v>
      </c>
      <c r="H11">
        <f>G11</f>
        <v>4</v>
      </c>
      <c r="I11">
        <f>A11*5</f>
        <v>5000</v>
      </c>
      <c r="J11" s="1">
        <f>(C6*E3)*(A11/100000)</f>
        <v>2.0194589999999998E-2</v>
      </c>
      <c r="K11" s="1">
        <f>(C7*E3)*A11</f>
        <v>0.68913780000000002</v>
      </c>
      <c r="L11" s="1">
        <f>(C8*E3)*A11</f>
        <v>0.82679999999999998</v>
      </c>
      <c r="N11" s="6">
        <f>(C3*E3)*A11*4</f>
        <v>1934.712</v>
      </c>
      <c r="O11" s="6">
        <f>(C2*E3)*A11</f>
        <v>413.40000000000003</v>
      </c>
      <c r="P11" s="6">
        <f>(C4*E3)*I11</f>
        <v>16.535999999999998</v>
      </c>
      <c r="Q11" s="1">
        <f>(C5*E3)*(A11/1024)</f>
        <v>92.853515625</v>
      </c>
      <c r="R11" s="6">
        <f>J11+K11+M11+N11+O11+P11+Q11</f>
        <v>2458.210848015</v>
      </c>
    </row>
    <row r="12" spans="1:18" x14ac:dyDescent="0.3">
      <c r="A12">
        <v>2000</v>
      </c>
      <c r="B12" s="3"/>
      <c r="D12" s="7">
        <v>37</v>
      </c>
      <c r="E12" s="6">
        <f t="shared" ref="E12:E21" si="0">A12*D12</f>
        <v>74000</v>
      </c>
      <c r="F12" s="14">
        <f t="shared" ref="F12:F21" si="1">G12+H12+I12+A12</f>
        <v>12016</v>
      </c>
      <c r="G12">
        <f t="shared" ref="G12:G21" si="2">A12/250</f>
        <v>8</v>
      </c>
      <c r="H12">
        <f t="shared" ref="H12:H21" si="3">G12</f>
        <v>8</v>
      </c>
      <c r="I12">
        <f t="shared" ref="I12:I21" si="4">A12*5</f>
        <v>10000</v>
      </c>
      <c r="J12" s="1">
        <f>(C6*E3)*(A12/100000)</f>
        <v>4.0389179999999997E-2</v>
      </c>
      <c r="K12" s="1">
        <f>(C7*E3)*A12</f>
        <v>1.3782756</v>
      </c>
      <c r="L12" s="1">
        <f>(C8*E3)*A12</f>
        <v>1.6536</v>
      </c>
      <c r="N12" s="6">
        <f>(C3*E3)*A12</f>
        <v>967.35599999999999</v>
      </c>
      <c r="O12" s="6">
        <f>(C2*E3)*A12</f>
        <v>826.80000000000007</v>
      </c>
      <c r="P12" s="6">
        <f>(C4*E3)*I12</f>
        <v>33.071999999999996</v>
      </c>
      <c r="Q12" s="1">
        <f>(C5*E3)*(A12/1024)</f>
        <v>185.70703125</v>
      </c>
      <c r="R12" s="6">
        <f t="shared" ref="R12:R21" si="5">J12+K12+M12+N12+O12+P12+Q12</f>
        <v>2014.35369603</v>
      </c>
    </row>
    <row r="13" spans="1:18" x14ac:dyDescent="0.3">
      <c r="A13">
        <v>5000</v>
      </c>
      <c r="B13" s="3"/>
      <c r="D13" s="7">
        <v>34</v>
      </c>
      <c r="E13" s="6">
        <f t="shared" si="0"/>
        <v>170000</v>
      </c>
      <c r="F13" s="14">
        <f t="shared" si="1"/>
        <v>30040</v>
      </c>
      <c r="G13">
        <f t="shared" si="2"/>
        <v>20</v>
      </c>
      <c r="H13">
        <f t="shared" si="3"/>
        <v>20</v>
      </c>
      <c r="I13">
        <f t="shared" si="4"/>
        <v>25000</v>
      </c>
      <c r="J13" s="1">
        <f>(C6*E3)*(A13/100000)</f>
        <v>0.10097295000000001</v>
      </c>
      <c r="K13" s="1">
        <f>(C7*E3)*A13</f>
        <v>3.4456889999999998</v>
      </c>
      <c r="L13" s="1">
        <f>(C8*E3)*A13</f>
        <v>4.1339999999999995</v>
      </c>
      <c r="N13" s="6">
        <f>(C3*E3)*A13</f>
        <v>2418.39</v>
      </c>
      <c r="O13" s="6">
        <f>(C2*E3)*A13</f>
        <v>2067</v>
      </c>
      <c r="P13" s="6">
        <f>(C4*E3)*I13</f>
        <v>82.679999999999993</v>
      </c>
      <c r="Q13" s="1">
        <f>(C5*E3)*(A13/1024)</f>
        <v>464.26757812499994</v>
      </c>
      <c r="R13" s="6">
        <f t="shared" si="5"/>
        <v>5035.884240075</v>
      </c>
    </row>
    <row r="14" spans="1:18" x14ac:dyDescent="0.3">
      <c r="A14">
        <v>10000</v>
      </c>
      <c r="B14" s="3"/>
      <c r="D14" s="7">
        <v>30</v>
      </c>
      <c r="E14" s="6">
        <f t="shared" si="0"/>
        <v>300000</v>
      </c>
      <c r="F14" s="14">
        <f t="shared" si="1"/>
        <v>60080</v>
      </c>
      <c r="G14">
        <f t="shared" si="2"/>
        <v>40</v>
      </c>
      <c r="H14">
        <f t="shared" si="3"/>
        <v>40</v>
      </c>
      <c r="I14">
        <f t="shared" si="4"/>
        <v>50000</v>
      </c>
      <c r="J14" s="1">
        <f>(C6*E3)*(A14/100000)</f>
        <v>0.20194590000000001</v>
      </c>
      <c r="K14" s="1">
        <f>(C7*E3)*A14</f>
        <v>6.8913779999999996</v>
      </c>
      <c r="L14" s="1">
        <f>(C8*E3)*A14</f>
        <v>8.2679999999999989</v>
      </c>
      <c r="N14" s="6">
        <f>(C3*E3)*A14</f>
        <v>4836.78</v>
      </c>
      <c r="O14" s="6">
        <f>(C2*E3)*A14</f>
        <v>4134</v>
      </c>
      <c r="P14" s="6">
        <f>(C4*E3)*I14</f>
        <v>165.35999999999999</v>
      </c>
      <c r="Q14" s="1">
        <f>(C5*E3)*(A14/1024)</f>
        <v>928.53515624999989</v>
      </c>
      <c r="R14" s="6">
        <f t="shared" si="5"/>
        <v>10071.76848015</v>
      </c>
    </row>
    <row r="15" spans="1:18" x14ac:dyDescent="0.3">
      <c r="A15">
        <v>20000</v>
      </c>
      <c r="B15" s="3"/>
      <c r="D15" s="7">
        <v>27</v>
      </c>
      <c r="E15" s="6">
        <f t="shared" si="0"/>
        <v>540000</v>
      </c>
      <c r="F15" s="14">
        <f t="shared" si="1"/>
        <v>120160</v>
      </c>
      <c r="G15">
        <f t="shared" si="2"/>
        <v>80</v>
      </c>
      <c r="H15">
        <f t="shared" si="3"/>
        <v>80</v>
      </c>
      <c r="I15">
        <f t="shared" si="4"/>
        <v>100000</v>
      </c>
      <c r="J15" s="1">
        <f>(C6*E3)*(A15/100000)</f>
        <v>0.40389180000000002</v>
      </c>
      <c r="K15" s="1">
        <f>(C7*E3)*A15</f>
        <v>13.782755999999999</v>
      </c>
      <c r="L15" s="1">
        <f>(C8*E3)*A15</f>
        <v>16.535999999999998</v>
      </c>
      <c r="N15" s="6">
        <f>(C3*E3)*A15</f>
        <v>9673.56</v>
      </c>
      <c r="O15" s="6">
        <f>(C2*E3)*A15</f>
        <v>8268</v>
      </c>
      <c r="P15" s="6">
        <f>(C4*E3)*I15</f>
        <v>330.71999999999997</v>
      </c>
      <c r="Q15" s="1">
        <f>(C5*E3)*(A15/1024)</f>
        <v>1857.0703124999998</v>
      </c>
      <c r="R15" s="6">
        <f t="shared" si="5"/>
        <v>20143.5369603</v>
      </c>
    </row>
    <row r="16" spans="1:18" x14ac:dyDescent="0.3">
      <c r="A16">
        <v>50000</v>
      </c>
      <c r="B16" s="3"/>
      <c r="D16" s="7">
        <v>25</v>
      </c>
      <c r="E16" s="6">
        <f t="shared" si="0"/>
        <v>1250000</v>
      </c>
      <c r="F16" s="14">
        <f t="shared" si="1"/>
        <v>300400</v>
      </c>
      <c r="G16">
        <f t="shared" si="2"/>
        <v>200</v>
      </c>
      <c r="H16">
        <f t="shared" si="3"/>
        <v>200</v>
      </c>
      <c r="I16">
        <f t="shared" si="4"/>
        <v>250000</v>
      </c>
      <c r="J16" s="1">
        <f>(C6*E3)*(A16/100000)</f>
        <v>1.0097294999999999</v>
      </c>
      <c r="K16" s="1">
        <f>(C7*E3)*A16</f>
        <v>34.456890000000001</v>
      </c>
      <c r="L16" s="1">
        <f>(C8*E3)*A16</f>
        <v>41.339999999999996</v>
      </c>
      <c r="N16" s="6">
        <f>(C3*E3)*A16</f>
        <v>24183.9</v>
      </c>
      <c r="O16" s="6">
        <f>(C2*E3)*A16</f>
        <v>20670.000000000004</v>
      </c>
      <c r="P16" s="6">
        <f>(C4*E3)*I16</f>
        <v>826.8</v>
      </c>
      <c r="Q16" s="1">
        <f>(C5*E3)*(A16/1024)</f>
        <v>4642.67578125</v>
      </c>
      <c r="R16" s="6">
        <f t="shared" si="5"/>
        <v>50358.842400750007</v>
      </c>
    </row>
    <row r="17" spans="1:18" x14ac:dyDescent="0.3">
      <c r="A17">
        <v>100000</v>
      </c>
      <c r="B17" s="4">
        <v>20</v>
      </c>
      <c r="D17" s="7">
        <v>22</v>
      </c>
      <c r="E17" s="6">
        <f t="shared" si="0"/>
        <v>2200000</v>
      </c>
      <c r="F17" s="14">
        <f t="shared" si="1"/>
        <v>600800</v>
      </c>
      <c r="G17">
        <f t="shared" si="2"/>
        <v>400</v>
      </c>
      <c r="H17">
        <f t="shared" si="3"/>
        <v>400</v>
      </c>
      <c r="I17">
        <f t="shared" si="4"/>
        <v>500000</v>
      </c>
      <c r="J17" s="1">
        <f>(C6*E3)*(A17/100000)</f>
        <v>2.0194589999999999</v>
      </c>
      <c r="K17" s="1">
        <f>(C7*E3)*A17</f>
        <v>68.913780000000003</v>
      </c>
      <c r="L17" s="1">
        <f>(C8*E3)*A17</f>
        <v>82.679999999999993</v>
      </c>
      <c r="N17" s="6">
        <f>(C3*E3)*A17</f>
        <v>48367.8</v>
      </c>
      <c r="O17" s="6">
        <f>(C2*E3)*A17</f>
        <v>41340.000000000007</v>
      </c>
      <c r="P17" s="6">
        <f>(C4*E3)*I17</f>
        <v>1653.6</v>
      </c>
      <c r="Q17" s="1">
        <f>(C5*E3)*(A17/1024)</f>
        <v>9285.3515625</v>
      </c>
      <c r="R17" s="6">
        <f t="shared" si="5"/>
        <v>100717.68480150001</v>
      </c>
    </row>
    <row r="18" spans="1:18" x14ac:dyDescent="0.3">
      <c r="A18">
        <v>200000</v>
      </c>
      <c r="B18" s="4">
        <v>18</v>
      </c>
      <c r="D18" s="7">
        <v>20</v>
      </c>
      <c r="E18" s="6">
        <f t="shared" si="0"/>
        <v>4000000</v>
      </c>
      <c r="F18" s="14">
        <f t="shared" si="1"/>
        <v>1201600</v>
      </c>
      <c r="G18">
        <f t="shared" si="2"/>
        <v>800</v>
      </c>
      <c r="H18">
        <f t="shared" si="3"/>
        <v>800</v>
      </c>
      <c r="I18">
        <f t="shared" si="4"/>
        <v>1000000</v>
      </c>
      <c r="J18" s="1">
        <f>(C6*E3)*(A18/100000)</f>
        <v>4.0389179999999998</v>
      </c>
      <c r="K18" s="1">
        <f>(C7*E3)*A18</f>
        <v>137.82756000000001</v>
      </c>
      <c r="L18" s="1">
        <f>(C8*E3)*A18</f>
        <v>165.35999999999999</v>
      </c>
      <c r="N18" s="6">
        <f>(C3*E3)*A18</f>
        <v>96735.6</v>
      </c>
      <c r="O18" s="6">
        <f>(C2*E3)*A18</f>
        <v>82680.000000000015</v>
      </c>
      <c r="P18" s="6">
        <f>(C4*E3)*I18</f>
        <v>3307.2</v>
      </c>
      <c r="Q18" s="1">
        <f>(C5*E3)*(A18/1024)</f>
        <v>18570.703125</v>
      </c>
      <c r="R18" s="6">
        <f t="shared" si="5"/>
        <v>201435.36960300003</v>
      </c>
    </row>
    <row r="19" spans="1:18" x14ac:dyDescent="0.3">
      <c r="A19">
        <v>500000</v>
      </c>
      <c r="B19" s="5">
        <v>15</v>
      </c>
      <c r="D19" s="7">
        <v>18</v>
      </c>
      <c r="E19" s="6">
        <f t="shared" si="0"/>
        <v>9000000</v>
      </c>
      <c r="F19" s="14">
        <f t="shared" si="1"/>
        <v>3004000</v>
      </c>
      <c r="G19">
        <f t="shared" si="2"/>
        <v>2000</v>
      </c>
      <c r="H19">
        <f t="shared" si="3"/>
        <v>2000</v>
      </c>
      <c r="I19">
        <f t="shared" si="4"/>
        <v>2500000</v>
      </c>
      <c r="J19" s="1">
        <f>(C6*E3)*(A19/100000)</f>
        <v>10.097294999999999</v>
      </c>
      <c r="K19" s="1">
        <f>(C7*E3)*A19</f>
        <v>344.56889999999999</v>
      </c>
      <c r="L19" s="1">
        <f>(C8*E3)*A19</f>
        <v>413.4</v>
      </c>
      <c r="N19" s="6">
        <f>(C3*E3)*A19</f>
        <v>241839</v>
      </c>
      <c r="O19" s="6">
        <f>(C2*E3)*A19</f>
        <v>206700.00000000003</v>
      </c>
      <c r="P19" s="6">
        <f>(C4*E3)*I19</f>
        <v>8268</v>
      </c>
      <c r="Q19" s="1">
        <f>(C5*E3)*(A19/1024)</f>
        <v>46426.7578125</v>
      </c>
      <c r="R19" s="6">
        <f t="shared" si="5"/>
        <v>503588.42400750006</v>
      </c>
    </row>
    <row r="20" spans="1:18" x14ac:dyDescent="0.3">
      <c r="A20">
        <v>1000000</v>
      </c>
      <c r="B20" s="4" t="s">
        <v>3</v>
      </c>
      <c r="D20" s="7">
        <v>15</v>
      </c>
      <c r="E20" s="6">
        <f t="shared" si="0"/>
        <v>15000000</v>
      </c>
      <c r="F20" s="14">
        <f t="shared" si="1"/>
        <v>6008000</v>
      </c>
      <c r="G20">
        <f t="shared" si="2"/>
        <v>4000</v>
      </c>
      <c r="H20">
        <f t="shared" si="3"/>
        <v>4000</v>
      </c>
      <c r="I20">
        <f t="shared" si="4"/>
        <v>5000000</v>
      </c>
      <c r="J20" s="1">
        <f>(C6*E3)*(A20/100000)</f>
        <v>20.194589999999998</v>
      </c>
      <c r="K20" s="1">
        <f>(C7*E3)*A20</f>
        <v>689.13779999999997</v>
      </c>
      <c r="L20" s="1">
        <f>(C8*E3)*A20</f>
        <v>826.8</v>
      </c>
      <c r="N20" s="6">
        <f>(C3*E3)*A20</f>
        <v>483678</v>
      </c>
      <c r="O20" s="6">
        <f>(C2*E3)*A20</f>
        <v>413400.00000000006</v>
      </c>
      <c r="P20" s="6">
        <f>(C4*E3)*I20</f>
        <v>16536</v>
      </c>
      <c r="Q20" s="1">
        <f>(C5*E3)*(A20/1024)</f>
        <v>92853.515625</v>
      </c>
      <c r="R20" s="6">
        <f t="shared" si="5"/>
        <v>1007176.8480150001</v>
      </c>
    </row>
    <row r="21" spans="1:18" x14ac:dyDescent="0.3">
      <c r="B21" s="2"/>
      <c r="D21" s="1"/>
      <c r="E21" s="6">
        <f t="shared" si="0"/>
        <v>0</v>
      </c>
      <c r="F21" s="6">
        <f t="shared" si="1"/>
        <v>0</v>
      </c>
      <c r="G21">
        <f t="shared" si="2"/>
        <v>0</v>
      </c>
      <c r="H21">
        <f t="shared" si="3"/>
        <v>0</v>
      </c>
      <c r="I21">
        <f t="shared" si="4"/>
        <v>0</v>
      </c>
      <c r="J21">
        <f>(C6*E3)*(A21/100000)</f>
        <v>0</v>
      </c>
      <c r="L21">
        <f>(C8*E3)*A21</f>
        <v>0</v>
      </c>
      <c r="O21" s="6">
        <f>(C2*E3)*A21</f>
        <v>0</v>
      </c>
      <c r="P21" s="6">
        <f>(C4*E3)*I21</f>
        <v>0</v>
      </c>
      <c r="Q21" s="1">
        <f>(C5*E3)*(A21/1024)</f>
        <v>0</v>
      </c>
      <c r="R21" s="6">
        <f t="shared" si="5"/>
        <v>0</v>
      </c>
    </row>
    <row r="24" spans="1:18" x14ac:dyDescent="0.3">
      <c r="A24" t="s">
        <v>12</v>
      </c>
    </row>
    <row r="25" spans="1:18" x14ac:dyDescent="0.3">
      <c r="A25">
        <v>1</v>
      </c>
      <c r="B25" s="15" t="s">
        <v>13</v>
      </c>
      <c r="C25" s="15"/>
      <c r="D25" s="15"/>
      <c r="E25" s="15"/>
      <c r="F25" s="15"/>
      <c r="G25" s="15"/>
      <c r="H25" s="15"/>
      <c r="I25" s="15"/>
      <c r="J25" s="15"/>
      <c r="K25" s="8"/>
      <c r="L25" s="8"/>
    </row>
    <row r="26" spans="1:18" x14ac:dyDescent="0.3">
      <c r="A26">
        <v>2</v>
      </c>
      <c r="B26" s="15"/>
      <c r="C26" s="15"/>
      <c r="D26" s="15"/>
      <c r="E26" s="15"/>
      <c r="F26" s="15"/>
      <c r="G26" s="15"/>
      <c r="H26" s="15"/>
      <c r="I26" s="15"/>
      <c r="J26" s="15"/>
      <c r="K26" s="8"/>
      <c r="L26" s="8"/>
    </row>
    <row r="27" spans="1:18" x14ac:dyDescent="0.3">
      <c r="A27">
        <v>3</v>
      </c>
      <c r="B27" s="15"/>
      <c r="C27" s="15"/>
      <c r="D27" s="15"/>
      <c r="E27" s="15"/>
      <c r="F27" s="15"/>
      <c r="G27" s="15"/>
      <c r="H27" s="15"/>
      <c r="I27" s="15"/>
      <c r="J27" s="15"/>
      <c r="K27" s="8"/>
      <c r="L27" s="8"/>
    </row>
    <row r="28" spans="1:18" x14ac:dyDescent="0.3">
      <c r="A28">
        <v>4</v>
      </c>
      <c r="B28" s="15"/>
      <c r="C28" s="15"/>
      <c r="D28" s="15"/>
      <c r="E28" s="15"/>
      <c r="F28" s="15"/>
      <c r="G28" s="15"/>
      <c r="H28" s="15"/>
      <c r="I28" s="15"/>
      <c r="J28" s="15"/>
      <c r="K28" s="8"/>
      <c r="L28" s="8"/>
    </row>
    <row r="29" spans="1:18" x14ac:dyDescent="0.3">
      <c r="A29">
        <v>5</v>
      </c>
      <c r="B29" s="15"/>
      <c r="C29" s="15"/>
      <c r="D29" s="15"/>
      <c r="E29" s="15"/>
      <c r="F29" s="15"/>
      <c r="G29" s="15"/>
      <c r="H29" s="15"/>
      <c r="I29" s="15"/>
      <c r="J29" s="15"/>
      <c r="K29" s="8"/>
      <c r="L29" s="8"/>
    </row>
    <row r="30" spans="1:18" x14ac:dyDescent="0.3">
      <c r="A30">
        <v>6</v>
      </c>
      <c r="B30" s="15"/>
      <c r="C30" s="15"/>
      <c r="D30" s="15"/>
      <c r="E30" s="15"/>
      <c r="F30" s="15"/>
      <c r="G30" s="15"/>
      <c r="H30" s="15"/>
      <c r="I30" s="15"/>
      <c r="J30" s="15"/>
      <c r="K30" s="8"/>
      <c r="L30" s="8"/>
    </row>
    <row r="31" spans="1:18" x14ac:dyDescent="0.3">
      <c r="A31">
        <v>7</v>
      </c>
      <c r="B31" s="15"/>
      <c r="C31" s="15"/>
      <c r="D31" s="15"/>
      <c r="E31" s="15"/>
      <c r="F31" s="15"/>
      <c r="G31" s="15"/>
      <c r="H31" s="15"/>
      <c r="I31" s="15"/>
      <c r="J31" s="15"/>
      <c r="K31" s="8"/>
      <c r="L31" s="8"/>
    </row>
    <row r="32" spans="1:18" x14ac:dyDescent="0.3">
      <c r="A32">
        <v>8</v>
      </c>
      <c r="B32" s="15"/>
      <c r="C32" s="15"/>
      <c r="D32" s="15"/>
      <c r="E32" s="15"/>
      <c r="F32" s="15"/>
      <c r="G32" s="15"/>
      <c r="H32" s="15"/>
      <c r="I32" s="15"/>
      <c r="J32" s="15"/>
      <c r="K32" s="8"/>
      <c r="L32" s="8"/>
    </row>
    <row r="33" spans="1:12" x14ac:dyDescent="0.3">
      <c r="A33">
        <v>9</v>
      </c>
      <c r="B33" s="15"/>
      <c r="C33" s="15"/>
      <c r="D33" s="15"/>
      <c r="E33" s="15"/>
      <c r="F33" s="15"/>
      <c r="G33" s="15"/>
      <c r="H33" s="15"/>
      <c r="I33" s="15"/>
      <c r="J33" s="15"/>
      <c r="K33" s="8"/>
      <c r="L33" s="8"/>
    </row>
    <row r="34" spans="1:12" x14ac:dyDescent="0.3">
      <c r="A34">
        <v>10</v>
      </c>
      <c r="B34" s="15"/>
      <c r="C34" s="15"/>
      <c r="D34" s="15"/>
      <c r="E34" s="15"/>
      <c r="F34" s="15"/>
      <c r="G34" s="15"/>
      <c r="H34" s="15"/>
      <c r="I34" s="15"/>
      <c r="J34" s="15"/>
      <c r="K34" s="8"/>
      <c r="L34" s="8"/>
    </row>
    <row r="35" spans="1:12" x14ac:dyDescent="0.3">
      <c r="A35">
        <v>11</v>
      </c>
      <c r="B35" s="15"/>
      <c r="C35" s="15"/>
      <c r="D35" s="15"/>
      <c r="E35" s="15"/>
      <c r="F35" s="15"/>
      <c r="G35" s="15"/>
      <c r="H35" s="15"/>
      <c r="I35" s="15"/>
      <c r="J35" s="15"/>
      <c r="K35" s="8"/>
      <c r="L35" s="8"/>
    </row>
    <row r="36" spans="1:12" x14ac:dyDescent="0.3">
      <c r="A36">
        <v>12</v>
      </c>
      <c r="B36" s="15"/>
      <c r="C36" s="15"/>
      <c r="D36" s="15"/>
      <c r="E36" s="15"/>
      <c r="F36" s="15"/>
      <c r="G36" s="15"/>
      <c r="H36" s="15"/>
      <c r="I36" s="15"/>
      <c r="J36" s="15"/>
      <c r="K36" s="8"/>
      <c r="L36" s="8"/>
    </row>
  </sheetData>
  <mergeCells count="12">
    <mergeCell ref="B36:J36"/>
    <mergeCell ref="B25:J25"/>
    <mergeCell ref="B26:J26"/>
    <mergeCell ref="B27:J27"/>
    <mergeCell ref="B28:J28"/>
    <mergeCell ref="B29:J29"/>
    <mergeCell ref="B30:J30"/>
    <mergeCell ref="B31:J31"/>
    <mergeCell ref="B32:J32"/>
    <mergeCell ref="B33:J33"/>
    <mergeCell ref="B34:J34"/>
    <mergeCell ref="B35:J35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794B-9D5E-4E4F-8701-BC80724EFA59}">
  <dimension ref="A1:B4"/>
  <sheetViews>
    <sheetView tabSelected="1" workbookViewId="0">
      <selection sqref="A1:B4"/>
    </sheetView>
  </sheetViews>
  <sheetFormatPr baseColWidth="10" defaultRowHeight="14.4" x14ac:dyDescent="0.3"/>
  <cols>
    <col min="1" max="1" width="17" customWidth="1"/>
    <col min="2" max="2" width="18.5546875" customWidth="1"/>
  </cols>
  <sheetData>
    <row r="1" spans="1:2" ht="15.6" x14ac:dyDescent="0.3">
      <c r="A1" s="17" t="s">
        <v>37</v>
      </c>
      <c r="B1" s="17" t="s">
        <v>41</v>
      </c>
    </row>
    <row r="2" spans="1:2" x14ac:dyDescent="0.3">
      <c r="A2" s="16" t="s">
        <v>38</v>
      </c>
      <c r="B2" s="18" t="s">
        <v>42</v>
      </c>
    </row>
    <row r="3" spans="1:2" x14ac:dyDescent="0.3">
      <c r="A3" s="16" t="s">
        <v>39</v>
      </c>
      <c r="B3" s="19" t="s">
        <v>43</v>
      </c>
    </row>
    <row r="4" spans="1:2" x14ac:dyDescent="0.3">
      <c r="A4" s="16" t="s">
        <v>40</v>
      </c>
      <c r="B4" s="19" t="s">
        <v>44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149E8-3411-4C64-92A4-EBA0BBCDB7C7}">
  <dimension ref="A1"/>
  <sheetViews>
    <sheetView workbookViewId="0">
      <selection activeCell="U16" sqref="U16"/>
    </sheetView>
  </sheetViews>
  <sheetFormatPr baseColWidth="10" defaultColWidth="8.88671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33591-1965-4F21-A7DE-19762933C60F}">
  <dimension ref="A1:D11"/>
  <sheetViews>
    <sheetView workbookViewId="0">
      <selection activeCell="D11" sqref="D11"/>
    </sheetView>
  </sheetViews>
  <sheetFormatPr baseColWidth="10" defaultColWidth="8.88671875" defaultRowHeight="14.4" x14ac:dyDescent="0.3"/>
  <cols>
    <col min="2" max="2" width="15.6640625" bestFit="1" customWidth="1"/>
    <col min="3" max="3" width="13.5546875" bestFit="1" customWidth="1"/>
    <col min="4" max="4" width="15.6640625" bestFit="1" customWidth="1"/>
  </cols>
  <sheetData>
    <row r="1" spans="1:4" x14ac:dyDescent="0.3">
      <c r="A1" t="s">
        <v>2</v>
      </c>
      <c r="B1" t="s">
        <v>1</v>
      </c>
      <c r="C1" t="s">
        <v>0</v>
      </c>
      <c r="D1" t="s">
        <v>1</v>
      </c>
    </row>
    <row r="2" spans="1:4" x14ac:dyDescent="0.3">
      <c r="A2">
        <v>1000</v>
      </c>
      <c r="B2" s="2"/>
      <c r="D2" s="7">
        <v>25</v>
      </c>
    </row>
    <row r="3" spans="1:4" x14ac:dyDescent="0.3">
      <c r="A3">
        <v>2000</v>
      </c>
      <c r="B3" s="3"/>
      <c r="D3" s="7">
        <v>23</v>
      </c>
    </row>
    <row r="4" spans="1:4" x14ac:dyDescent="0.3">
      <c r="A4">
        <v>5000</v>
      </c>
      <c r="B4" s="3"/>
      <c r="D4" s="7">
        <v>21</v>
      </c>
    </row>
    <row r="5" spans="1:4" x14ac:dyDescent="0.3">
      <c r="A5">
        <v>10000</v>
      </c>
      <c r="B5" s="3"/>
      <c r="D5" s="7">
        <v>19</v>
      </c>
    </row>
    <row r="6" spans="1:4" x14ac:dyDescent="0.3">
      <c r="A6">
        <v>20000</v>
      </c>
      <c r="B6" s="3"/>
      <c r="D6" s="7">
        <v>17</v>
      </c>
    </row>
    <row r="7" spans="1:4" x14ac:dyDescent="0.3">
      <c r="A7">
        <v>50000</v>
      </c>
      <c r="B7" s="3"/>
      <c r="D7" s="7">
        <v>15</v>
      </c>
    </row>
    <row r="8" spans="1:4" x14ac:dyDescent="0.3">
      <c r="A8">
        <v>100000</v>
      </c>
      <c r="B8" s="4">
        <v>20</v>
      </c>
      <c r="D8" s="7">
        <v>13</v>
      </c>
    </row>
    <row r="9" spans="1:4" x14ac:dyDescent="0.3">
      <c r="A9">
        <v>200000</v>
      </c>
      <c r="B9" s="4">
        <v>18</v>
      </c>
      <c r="D9" s="7">
        <v>12</v>
      </c>
    </row>
    <row r="10" spans="1:4" x14ac:dyDescent="0.3">
      <c r="A10">
        <v>500000</v>
      </c>
      <c r="B10" s="5">
        <v>15</v>
      </c>
      <c r="D10" s="7">
        <v>10</v>
      </c>
    </row>
    <row r="11" spans="1:4" x14ac:dyDescent="0.3">
      <c r="A11">
        <v>1000000</v>
      </c>
      <c r="B11" s="4" t="s">
        <v>3</v>
      </c>
      <c r="D11" s="7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EAP</vt:lpstr>
      <vt:lpstr>Hoja1</vt:lpstr>
      <vt:lpstr>EAU</vt:lpstr>
      <vt:lpstr>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Alberto Carvajal Serna</dc:creator>
  <cp:lastModifiedBy>Jhon Carvajal</cp:lastModifiedBy>
  <dcterms:created xsi:type="dcterms:W3CDTF">2024-06-19T19:36:05Z</dcterms:created>
  <dcterms:modified xsi:type="dcterms:W3CDTF">2025-10-19T13:20:21Z</dcterms:modified>
</cp:coreProperties>
</file>